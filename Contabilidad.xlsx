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media/image2.jpg" ContentType="image/jpeg"/>
  <Override PartName="/xl/drawings/drawing6.xml" ContentType="application/vnd.openxmlformats-officedocument.drawing+xml"/>
  <Override PartName="/xl/media/image3.jpg" ContentType="image/jpeg"/>
  <Override PartName="/xl/drawings/drawing7.xml" ContentType="application/vnd.openxmlformats-officedocument.drawing+xml"/>
  <Override PartName="/xl/drawings/drawing8.xml" ContentType="application/vnd.openxmlformats-officedocument.drawing+xml"/>
  <Override PartName="/xl/tables/table2.xml" ContentType="application/vnd.openxmlformats-officedocument.spreadsheetml.table+xml"/>
  <Override PartName="/xl/media/image5.jpg" ContentType="image/jpeg"/>
  <Override PartName="/xl/drawings/drawing9.xml" ContentType="application/vnd.openxmlformats-officedocument.drawing+xml"/>
  <Override PartName="/xl/tables/table3.xml" ContentType="application/vnd.openxmlformats-officedocument.spreadsheetml.table+xml"/>
  <Override PartName="/xl/drawings/drawing10.xml" ContentType="application/vnd.openxmlformats-officedocument.drawing+xml"/>
  <Override PartName="/xl/media/image8.jpg" ContentType="image/jpeg"/>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tables/table4.xml" ContentType="application/vnd.openxmlformats-officedocument.spreadsheetml.table+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D:\2AFI\TFG_BRENDA\EXCEL TFG\"/>
    </mc:Choice>
  </mc:AlternateContent>
  <xr:revisionPtr revIDLastSave="0" documentId="13_ncr:1_{95E5E5BB-401B-4960-B714-5EE1912ED254}" xr6:coauthVersionLast="47" xr6:coauthVersionMax="47" xr10:uidLastSave="{00000000-0000-0000-0000-000000000000}"/>
  <bookViews>
    <workbookView xWindow="-120" yWindow="-120" windowWidth="20730" windowHeight="11160" tabRatio="769" firstSheet="1" activeTab="6" xr2:uid="{00000000-000D-0000-FFFF-FFFF00000000}"/>
  </bookViews>
  <sheets>
    <sheet name="ingresos" sheetId="1" state="hidden" r:id="rId1"/>
    <sheet name="Resultados" sheetId="4" r:id="rId2"/>
    <sheet name="TESORERÍA" sheetId="27" r:id="rId3"/>
    <sheet name="INVERSIÓN Y AMORT." sheetId="26" r:id="rId4"/>
    <sheet name="FACTURA M.M" sheetId="7" state="hidden" r:id="rId5"/>
    <sheet name="BALANCE" sheetId="37" r:id="rId6"/>
    <sheet name="I.V.A" sheetId="38" r:id="rId7"/>
    <sheet name="RATIOS" sheetId="39" r:id="rId8"/>
    <sheet name="factura trámite" sheetId="34" state="hidden" r:id="rId9"/>
    <sheet name="FACTURA NOTARÍA" sheetId="32" state="hidden" r:id="rId10"/>
    <sheet name="TALLER" sheetId="31" state="hidden" r:id="rId11"/>
    <sheet name="FACTURA AGUA" sheetId="5" state="hidden" r:id="rId12"/>
    <sheet name="Cálculos Nómina" sheetId="36" r:id="rId13"/>
    <sheet name="FACTURA IKEA" sheetId="6" state="hidden" r:id="rId14"/>
    <sheet name="FACTURA LUZ " sheetId="8" state="hidden" r:id="rId15"/>
    <sheet name="FACTURA GAS" sheetId="9" state="hidden" r:id="rId16"/>
    <sheet name="ALQUILER LOCAL" sheetId="11" state="hidden" r:id="rId17"/>
    <sheet name="FACTURA VODAFONE" sheetId="13" state="hidden" r:id="rId18"/>
    <sheet name="FACTURA AMAZON" sheetId="18" state="hidden" r:id="rId19"/>
    <sheet name="Nóminas" sheetId="35" state="hidden" r:id="rId20"/>
    <sheet name="Póliza de seguro" sheetId="29" state="hidden" r:id="rId21"/>
    <sheet name="SEGUROS SOCIALES" sheetId="42" state="hidden" r:id="rId22"/>
  </sheets>
  <externalReferences>
    <externalReference r:id="rId23"/>
    <externalReference r:id="rId24"/>
  </externalReferences>
  <definedNames>
    <definedName name="_xlnm.Print_Area" localSheetId="5">BALANCE!$E$4:$G$24</definedName>
    <definedName name="_xlnm.Print_Area" localSheetId="12">'Cálculos Nómina'!$A$22:$E$29</definedName>
    <definedName name="_xlnm.Print_Area" localSheetId="11">'FACTURA AGUA'!$B$1:$I$28</definedName>
    <definedName name="_xlnm.Print_Area" localSheetId="18">'FACTURA AMAZON'!$A$1:$E$23</definedName>
    <definedName name="_xlnm.Print_Area" localSheetId="13">'FACTURA IKEA'!$A$1:$F$42</definedName>
    <definedName name="_xlnm.Print_Area" localSheetId="6">'I.V.A'!$B$20:$K$27</definedName>
    <definedName name="_xlnm.Print_Area" localSheetId="7">RATIOS!$B$2:$H$45</definedName>
    <definedName name="_xlnm.Print_Area" localSheetId="1">Resultados!$B$3:$N$29</definedName>
    <definedName name="ColumnTitle1" localSheetId="9">'FACTURA NOTARÍA'!$B$12</definedName>
    <definedName name="ColumnTitle1" localSheetId="20">'Póliza de seguro'!$B$13</definedName>
    <definedName name="ColumnTitle1">#REF!</definedName>
    <definedName name="ColumnTitleRegion1..B11.1" localSheetId="9">'FACTURA NOTARÍA'!$B$6</definedName>
    <definedName name="ColumnTitleRegion1..B11.1" localSheetId="17">'FACTURA VODAFONE'!$B$6</definedName>
    <definedName name="ColumnTitleRegion1..B11.1" localSheetId="20">'Póliza de seguro'!$B$6</definedName>
    <definedName name="ColumnTitleRegion1..B11.1">'ALQUILER LOCAL'!$B$6</definedName>
    <definedName name="Company_Name" localSheetId="9">'FACTURA NOTARÍA'!$B$1</definedName>
    <definedName name="Company_Name" localSheetId="3">'[1]CARGO FINANCIERO'!$B$2</definedName>
    <definedName name="Company_Name" localSheetId="20">'Póliza de seguro'!$B$1</definedName>
    <definedName name="Company_Name">'ALQUILER LOCAL'!$B$1</definedName>
    <definedName name="Fecha_Extracto">'factura trámite'!$F$2</definedName>
    <definedName name="Identificador_Cliente">'factura trámite'!$C$11</definedName>
    <definedName name="Importe_Envío">'factura trámite'!#REF!</definedName>
    <definedName name="Nombre_Cliente">'factura trámite'!$F$9</definedName>
    <definedName name="Nombre_de_la_compañía" localSheetId="15">'FACTURA GAS'!$B$2</definedName>
    <definedName name="Nombre_de_la_compañía">'FACTURA LUZ '!$B$2</definedName>
    <definedName name="Nombre_empresa" localSheetId="17">'FACTURA VODAFONE'!$B$1</definedName>
    <definedName name="Nombre_empresa">'FACTURA M.M'!$B$2</definedName>
    <definedName name="Número_Extracto">'factura trámite'!$C$9</definedName>
    <definedName name="RegiónDeTítuloDeFila1..E5" localSheetId="9">'FACTURA NOTARÍA'!#REF!</definedName>
    <definedName name="RegiónDeTítuloDeFila1..E5" localSheetId="20">'Póliza de seguro'!#REF!</definedName>
    <definedName name="RegiónDeTítuloDeFila1..E5">'ALQUILER LOCAL'!$D$3</definedName>
    <definedName name="RegiónTítulo1..D14">'FACTURA M.M'!#REF!</definedName>
    <definedName name="RegiónTítuloColumna1..B12.1">'FACTURA M.M'!$B$7</definedName>
    <definedName name="RegiónTítuloColumna2..E12.1">'FACTURA M.M'!$D$7</definedName>
    <definedName name="RegiónTítuloFila1..C4">TALLER!$C$1</definedName>
    <definedName name="RegiónTítuloFila1..D8" localSheetId="15">'FACTURA GAS'!$C$2</definedName>
    <definedName name="RegiónTítuloFila1..D8">'FACTURA LUZ '!$C$2</definedName>
    <definedName name="RegiónTítuloFila1..E5">'FACTURA M.M'!$D$3</definedName>
    <definedName name="RegiónTítuloFila1..F2">TALLER!$E$1</definedName>
    <definedName name="RowTitleRegion1..D4.1">'[2]CARGO FINANCIEROE'!$C$2</definedName>
    <definedName name="Título1">'factura trámite'!#REF!</definedName>
    <definedName name="TítuloColumna1" localSheetId="18">'FACTURA AMAZON'!$B$14</definedName>
    <definedName name="TítuloColumna1" localSheetId="17">Factura7[[#Headers],[DESCRIPCIÓN]]</definedName>
    <definedName name="TítuloColumna1" localSheetId="3">DetallesDeFactura[[#Headers],[DESCRIPCIÓN]]</definedName>
    <definedName name="TítuloColumna1" localSheetId="10">#REF!</definedName>
    <definedName name="TítuloColumna1">DetallesDeFactura[[#Headers],[DESCRIPCIÓN]]</definedName>
    <definedName name="TítuloColumnaRegión1..B6.1">'FACTURA AMAZON'!$B$2</definedName>
    <definedName name="TítuloColumnaRegión2..B13.1">'FACTURA AMAZON'!$B$7</definedName>
    <definedName name="TítuloDeColumna1" localSheetId="14">'FACTURA LUZ '!$B$10</definedName>
    <definedName name="TítuloDeColumna1">#REF!</definedName>
    <definedName name="TítuloDeColumnaRegión1..C13.1">'FACTURA IKEA'!$B$8</definedName>
    <definedName name="TítuloDeColumnaRegión2..C15.1">'FACTURA IKEA'!$B$14</definedName>
    <definedName name="TítuloDeFilaRegión1..D6">'FACTURA IKEA'!$C$4</definedName>
    <definedName name="TítuloFilaRegión1..D5">'FACTURA VODAFONE'!$C$3</definedName>
    <definedName name="TítuloFilaRegión1..G4">'factura trámite'!$C$6</definedName>
    <definedName name="TítuloFilaRegión2..C8">'factura trámite'!$B$9</definedName>
    <definedName name="_xlnm.Print_Titles" localSheetId="16">'ALQUILER LOCAL'!$12:$12</definedName>
    <definedName name="_xlnm.Print_Titles" localSheetId="18">'FACTURA AMAZON'!$14:$14</definedName>
    <definedName name="_xlnm.Print_Titles" localSheetId="15">'FACTURA GAS'!$10:$10</definedName>
    <definedName name="_xlnm.Print_Titles" localSheetId="13">'FACTURA IKEA'!$15:$15</definedName>
    <definedName name="_xlnm.Print_Titles" localSheetId="14">'FACTURA LUZ '!$10:$10</definedName>
    <definedName name="_xlnm.Print_Titles" localSheetId="4">'FACTURA M.M'!$13:$13</definedName>
    <definedName name="_xlnm.Print_Titles" localSheetId="9">'FACTURA NOTARÍA'!$12:$12</definedName>
    <definedName name="_xlnm.Print_Titles" localSheetId="8">'factura trámite'!#REF!</definedName>
    <definedName name="_xlnm.Print_Titles" localSheetId="17">'FACTURA VODAFONE'!$12:$12</definedName>
    <definedName name="_xlnm.Print_Titles" localSheetId="20">'Póliza de seguro'!$12:$12</definedName>
    <definedName name="_xlnm.Print_Titles" localSheetId="10">TALLER!$9:$9</definedName>
    <definedName name="Total_Debido">'factura trámite'!#REF!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E7" i="38" l="1"/>
  <c r="G6" i="37"/>
  <c r="C7" i="26"/>
  <c r="C8" i="26"/>
  <c r="N47" i="27" l="1"/>
  <c r="M49" i="27"/>
  <c r="D6" i="38" l="1"/>
  <c r="E6" i="38"/>
  <c r="F6" i="38"/>
  <c r="G6" i="38"/>
  <c r="H6" i="38"/>
  <c r="I6" i="38"/>
  <c r="J6" i="38"/>
  <c r="K6" i="38"/>
  <c r="L6" i="38"/>
  <c r="M6" i="38"/>
  <c r="N6" i="38"/>
  <c r="C34" i="27"/>
  <c r="A7" i="37"/>
  <c r="F6" i="36" l="1"/>
  <c r="F5" i="36"/>
  <c r="C20" i="27" l="1"/>
  <c r="E10" i="36"/>
  <c r="F31" i="27" s="1"/>
  <c r="E6" i="36"/>
  <c r="E5" i="36"/>
  <c r="E38" i="6" l="1"/>
  <c r="L31" i="27" l="1"/>
  <c r="I31" i="27"/>
  <c r="D12" i="4" l="1"/>
  <c r="E12" i="4"/>
  <c r="F12" i="4"/>
  <c r="G12" i="4"/>
  <c r="H12" i="4"/>
  <c r="I12" i="4"/>
  <c r="J12" i="4"/>
  <c r="K12" i="4"/>
  <c r="L12" i="4"/>
  <c r="M12" i="4"/>
  <c r="N12" i="4"/>
  <c r="C12" i="4"/>
  <c r="C9" i="42"/>
  <c r="C7" i="42"/>
  <c r="C6" i="42"/>
  <c r="F9" i="27"/>
  <c r="F34" i="27" s="1"/>
  <c r="G9" i="27"/>
  <c r="G34" i="27" s="1"/>
  <c r="H9" i="27"/>
  <c r="H34" i="27" s="1"/>
  <c r="I9" i="27"/>
  <c r="I34" i="27" s="1"/>
  <c r="J9" i="27"/>
  <c r="J34" i="27" s="1"/>
  <c r="K9" i="27"/>
  <c r="K34" i="27" s="1"/>
  <c r="L9" i="27"/>
  <c r="L34" i="27" s="1"/>
  <c r="M9" i="27"/>
  <c r="M34" i="27" s="1"/>
  <c r="N9" i="27"/>
  <c r="N34" i="27" s="1"/>
  <c r="N27" i="1"/>
  <c r="M27" i="1"/>
  <c r="L27" i="1"/>
  <c r="K27" i="1"/>
  <c r="J27" i="1"/>
  <c r="H27" i="1"/>
  <c r="G27" i="1"/>
  <c r="E27" i="1"/>
  <c r="D27" i="1"/>
  <c r="C27" i="1"/>
  <c r="N26" i="1"/>
  <c r="M26" i="1"/>
  <c r="L26" i="1"/>
  <c r="K26" i="1"/>
  <c r="H26" i="1"/>
  <c r="G26" i="1"/>
  <c r="F26" i="1"/>
  <c r="E26" i="1"/>
  <c r="C26" i="1"/>
  <c r="N25" i="1"/>
  <c r="M25" i="1"/>
  <c r="L25" i="1"/>
  <c r="K25" i="1"/>
  <c r="J25" i="1"/>
  <c r="I25" i="1"/>
  <c r="H25" i="1"/>
  <c r="G25" i="1"/>
  <c r="E25" i="1"/>
  <c r="D25" i="1"/>
  <c r="C25" i="1"/>
  <c r="N24" i="1"/>
  <c r="M24" i="1"/>
  <c r="L24" i="1"/>
  <c r="K24" i="1"/>
  <c r="J24" i="1"/>
  <c r="I24" i="1"/>
  <c r="H24" i="1"/>
  <c r="G24" i="1"/>
  <c r="F24" i="1"/>
  <c r="E24" i="1"/>
  <c r="D24" i="1"/>
  <c r="C24" i="1"/>
  <c r="N23" i="1"/>
  <c r="M23" i="1"/>
  <c r="L23" i="1"/>
  <c r="K23" i="1"/>
  <c r="J23" i="1"/>
  <c r="I23" i="1"/>
  <c r="H23" i="1"/>
  <c r="G23" i="1"/>
  <c r="F23" i="1"/>
  <c r="E23" i="1"/>
  <c r="D23" i="1"/>
  <c r="C23" i="1"/>
  <c r="M22" i="1"/>
  <c r="L22" i="1"/>
  <c r="K22" i="1"/>
  <c r="J22" i="1"/>
  <c r="I22" i="1"/>
  <c r="H22" i="1"/>
  <c r="G22" i="1"/>
  <c r="E22" i="1"/>
  <c r="D22" i="1"/>
  <c r="C22" i="1"/>
  <c r="N21" i="1"/>
  <c r="M21" i="1"/>
  <c r="L21" i="1"/>
  <c r="K21" i="1"/>
  <c r="J21" i="1"/>
  <c r="I21" i="1"/>
  <c r="H21" i="1"/>
  <c r="G21" i="1"/>
  <c r="F21" i="1"/>
  <c r="E21" i="1"/>
  <c r="D21" i="1"/>
  <c r="C21" i="1"/>
  <c r="N20" i="1"/>
  <c r="M20" i="1"/>
  <c r="L20" i="1"/>
  <c r="K20" i="1"/>
  <c r="J20" i="1"/>
  <c r="I20" i="1"/>
  <c r="H20" i="1"/>
  <c r="G20" i="1"/>
  <c r="F20" i="1"/>
  <c r="E20" i="1"/>
  <c r="D20" i="1"/>
  <c r="C20" i="1"/>
  <c r="N19" i="1"/>
  <c r="M19" i="1"/>
  <c r="L19" i="1"/>
  <c r="K19" i="1"/>
  <c r="J19" i="1"/>
  <c r="I19" i="1"/>
  <c r="H19" i="1"/>
  <c r="G19" i="1"/>
  <c r="E19" i="1"/>
  <c r="D19" i="1"/>
  <c r="C19" i="1"/>
  <c r="F27" i="1"/>
  <c r="I27" i="1"/>
  <c r="D26" i="1"/>
  <c r="I26" i="1"/>
  <c r="J26" i="1"/>
  <c r="F25" i="1"/>
  <c r="F22" i="1"/>
  <c r="N22" i="1"/>
  <c r="F19" i="1"/>
  <c r="C17" i="11" l="1"/>
  <c r="C18" i="11"/>
  <c r="C15" i="11"/>
  <c r="C16" i="11"/>
  <c r="D12" i="8"/>
  <c r="Q15" i="4"/>
  <c r="E9" i="27"/>
  <c r="E34" i="27" s="1"/>
  <c r="O11" i="4"/>
  <c r="O13" i="4"/>
  <c r="O16" i="4"/>
  <c r="O18" i="4"/>
  <c r="O19" i="4"/>
  <c r="O21" i="4"/>
  <c r="O26" i="4"/>
  <c r="O8" i="27"/>
  <c r="O12" i="27"/>
  <c r="O14" i="27"/>
  <c r="O17" i="27"/>
  <c r="O19" i="27"/>
  <c r="O25" i="27"/>
  <c r="J26" i="27" l="1"/>
  <c r="M14" i="38" l="1"/>
  <c r="L14" i="38"/>
  <c r="J14" i="38"/>
  <c r="I14" i="38"/>
  <c r="G14" i="38"/>
  <c r="F14" i="38"/>
  <c r="D14" i="38"/>
  <c r="C14" i="38"/>
  <c r="D7" i="38"/>
  <c r="F7" i="38"/>
  <c r="G7" i="38"/>
  <c r="I7" i="38"/>
  <c r="J7" i="38"/>
  <c r="L7" i="38"/>
  <c r="M7" i="38"/>
  <c r="C7" i="38"/>
  <c r="C9" i="27"/>
  <c r="D27" i="27" l="1"/>
  <c r="E27" i="27"/>
  <c r="F27" i="27"/>
  <c r="G27" i="27"/>
  <c r="H27" i="27"/>
  <c r="I27" i="27"/>
  <c r="J27" i="27"/>
  <c r="K27" i="27"/>
  <c r="L27" i="27"/>
  <c r="M27" i="27"/>
  <c r="N27" i="27"/>
  <c r="D26" i="27"/>
  <c r="E26" i="27"/>
  <c r="F26" i="27"/>
  <c r="G26" i="27"/>
  <c r="H26" i="27"/>
  <c r="I26" i="27"/>
  <c r="K26" i="27"/>
  <c r="L26" i="27"/>
  <c r="M26" i="27"/>
  <c r="N26" i="27"/>
  <c r="B5" i="36"/>
  <c r="D5" i="36"/>
  <c r="B6" i="36"/>
  <c r="B7" i="36"/>
  <c r="E7" i="36"/>
  <c r="B8" i="36"/>
  <c r="E8" i="36"/>
  <c r="B15" i="36"/>
  <c r="D15" i="36"/>
  <c r="B16" i="36"/>
  <c r="B17" i="36"/>
  <c r="B18" i="36"/>
  <c r="B25" i="36"/>
  <c r="B26" i="36"/>
  <c r="T37" i="35"/>
  <c r="C6" i="36" s="1"/>
  <c r="P46" i="35"/>
  <c r="M65" i="35"/>
  <c r="O72" i="35"/>
  <c r="T115" i="35"/>
  <c r="S130" i="35"/>
  <c r="M143" i="35"/>
  <c r="O150" i="35"/>
  <c r="T193" i="35"/>
  <c r="N198" i="35" s="1"/>
  <c r="M221" i="35"/>
  <c r="O228" i="35"/>
  <c r="T273" i="35"/>
  <c r="N279" i="35" s="1"/>
  <c r="N277" i="35"/>
  <c r="M301" i="35"/>
  <c r="O308" i="35"/>
  <c r="S131" i="35" l="1"/>
  <c r="M302" i="35"/>
  <c r="O303" i="35" s="1"/>
  <c r="R305" i="35" s="1"/>
  <c r="N278" i="35"/>
  <c r="P282" i="35" s="1"/>
  <c r="M222" i="35"/>
  <c r="O223" i="35" s="1"/>
  <c r="O230" i="35" s="1"/>
  <c r="M66" i="35"/>
  <c r="O67" i="35" s="1"/>
  <c r="O70" i="35" s="1"/>
  <c r="N199" i="35"/>
  <c r="S52" i="35"/>
  <c r="S53" i="35" s="1"/>
  <c r="D6" i="36"/>
  <c r="C5" i="36"/>
  <c r="N197" i="35"/>
  <c r="M144" i="35"/>
  <c r="O145" i="35" s="1"/>
  <c r="R145" i="35" s="1"/>
  <c r="D16" i="36"/>
  <c r="C8" i="36"/>
  <c r="C7" i="36"/>
  <c r="R68" i="35"/>
  <c r="R69" i="35"/>
  <c r="R70" i="35"/>
  <c r="D8" i="36" l="1"/>
  <c r="D18" i="36" s="1"/>
  <c r="S288" i="35"/>
  <c r="S289" i="35" s="1"/>
  <c r="R67" i="35"/>
  <c r="F8" i="36"/>
  <c r="R303" i="35"/>
  <c r="P202" i="35"/>
  <c r="D7" i="36" s="1"/>
  <c r="D17" i="36" s="1"/>
  <c r="D20" i="36" s="1"/>
  <c r="O306" i="35"/>
  <c r="O148" i="35"/>
  <c r="R147" i="35"/>
  <c r="R148" i="35"/>
  <c r="O152" i="35"/>
  <c r="R146" i="35"/>
  <c r="R223" i="35"/>
  <c r="C10" i="36"/>
  <c r="C14" i="4" s="1"/>
  <c r="R304" i="35"/>
  <c r="O310" i="35"/>
  <c r="R226" i="35"/>
  <c r="R225" i="35"/>
  <c r="O226" i="35"/>
  <c r="R224" i="35"/>
  <c r="R306" i="35"/>
  <c r="R74" i="35"/>
  <c r="C16" i="36" s="1"/>
  <c r="E16" i="34"/>
  <c r="D10" i="36" l="1"/>
  <c r="R152" i="35"/>
  <c r="C15" i="36" s="1"/>
  <c r="R310" i="35"/>
  <c r="C18" i="36" s="1"/>
  <c r="E18" i="36" s="1"/>
  <c r="F7" i="36"/>
  <c r="F10" i="36" s="1"/>
  <c r="S208" i="35"/>
  <c r="S209" i="35" s="1"/>
  <c r="E16" i="36"/>
  <c r="D26" i="36"/>
  <c r="R230" i="35"/>
  <c r="C17" i="36" s="1"/>
  <c r="E17" i="36" s="1"/>
  <c r="F14" i="4"/>
  <c r="J14" i="4"/>
  <c r="N14" i="4"/>
  <c r="G14" i="4"/>
  <c r="L14" i="4"/>
  <c r="H14" i="4"/>
  <c r="M14" i="4"/>
  <c r="D14" i="4"/>
  <c r="I14" i="4"/>
  <c r="E14" i="4"/>
  <c r="K14" i="4"/>
  <c r="E17" i="34"/>
  <c r="E18" i="34" s="1"/>
  <c r="C28" i="4"/>
  <c r="C14" i="32"/>
  <c r="C20" i="36" l="1"/>
  <c r="C15" i="4" s="1"/>
  <c r="E15" i="36"/>
  <c r="E20" i="36" s="1"/>
  <c r="O14" i="4"/>
  <c r="D25" i="36"/>
  <c r="C28" i="36" s="1"/>
  <c r="H15" i="27"/>
  <c r="N15" i="27"/>
  <c r="G15" i="27"/>
  <c r="E15" i="27"/>
  <c r="K15" i="27"/>
  <c r="L15" i="27"/>
  <c r="I15" i="27"/>
  <c r="M15" i="27"/>
  <c r="J15" i="27"/>
  <c r="D15" i="27"/>
  <c r="F15" i="27"/>
  <c r="C15" i="27"/>
  <c r="C27" i="27"/>
  <c r="O27" i="27" s="1"/>
  <c r="O28" i="4"/>
  <c r="C15" i="32"/>
  <c r="C16" i="32" s="1"/>
  <c r="C27" i="4"/>
  <c r="B20" i="32"/>
  <c r="O15" i="27" l="1"/>
  <c r="C26" i="27"/>
  <c r="O26" i="27" s="1"/>
  <c r="O27" i="4"/>
  <c r="G16" i="27"/>
  <c r="K16" i="27"/>
  <c r="D16" i="27"/>
  <c r="G20" i="37" s="1"/>
  <c r="H16" i="27"/>
  <c r="L16" i="27"/>
  <c r="E16" i="27"/>
  <c r="I16" i="27"/>
  <c r="M16" i="27"/>
  <c r="F16" i="27"/>
  <c r="J16" i="27"/>
  <c r="N16" i="27"/>
  <c r="F15" i="4"/>
  <c r="J15" i="4"/>
  <c r="N15" i="4"/>
  <c r="E15" i="4"/>
  <c r="K15" i="4"/>
  <c r="G15" i="4"/>
  <c r="L15" i="4"/>
  <c r="H15" i="4"/>
  <c r="M15" i="4"/>
  <c r="D15" i="4"/>
  <c r="I15" i="4"/>
  <c r="F10" i="31"/>
  <c r="F11" i="31" s="1"/>
  <c r="O15" i="4" l="1"/>
  <c r="Q14" i="4" s="1"/>
  <c r="O16" i="27"/>
  <c r="F12" i="31"/>
  <c r="F13" i="31"/>
  <c r="C17" i="29"/>
  <c r="G17" i="4" s="1"/>
  <c r="G18" i="27" s="1"/>
  <c r="C15" i="29"/>
  <c r="D17" i="4" l="1"/>
  <c r="D18" i="27" s="1"/>
  <c r="L17" i="4"/>
  <c r="L18" i="27" s="1"/>
  <c r="C17" i="4"/>
  <c r="H17" i="4"/>
  <c r="H18" i="27" s="1"/>
  <c r="K17" i="4"/>
  <c r="K18" i="27" s="1"/>
  <c r="N17" i="4"/>
  <c r="N18" i="27" s="1"/>
  <c r="J17" i="4"/>
  <c r="J18" i="27" s="1"/>
  <c r="F17" i="4"/>
  <c r="F18" i="27" s="1"/>
  <c r="M17" i="4"/>
  <c r="M18" i="27" s="1"/>
  <c r="I17" i="4"/>
  <c r="I18" i="27" s="1"/>
  <c r="E17" i="4"/>
  <c r="E18" i="27" s="1"/>
  <c r="C16" i="29"/>
  <c r="C5" i="26"/>
  <c r="C18" i="27" l="1"/>
  <c r="O18" i="27" s="1"/>
  <c r="O17" i="4"/>
  <c r="E14" i="26"/>
  <c r="G14" i="26" s="1"/>
  <c r="H14" i="26" s="1"/>
  <c r="D7" i="37"/>
  <c r="O20" i="27"/>
  <c r="G15" i="26" l="1"/>
  <c r="D8" i="37" s="1"/>
  <c r="E20" i="4"/>
  <c r="I20" i="4"/>
  <c r="M20" i="4"/>
  <c r="H15" i="26"/>
  <c r="K20" i="4"/>
  <c r="H20" i="4"/>
  <c r="F20" i="4"/>
  <c r="J20" i="4"/>
  <c r="N20" i="4"/>
  <c r="G20" i="4"/>
  <c r="C20" i="4"/>
  <c r="D20" i="4"/>
  <c r="L20" i="4"/>
  <c r="C21" i="18"/>
  <c r="C22" i="18" s="1"/>
  <c r="C23" i="18" s="1"/>
  <c r="O20" i="4" l="1"/>
  <c r="D16" i="13"/>
  <c r="B19" i="13"/>
  <c r="G10" i="4" l="1"/>
  <c r="G11" i="27" s="1"/>
  <c r="K10" i="4"/>
  <c r="K11" i="27" s="1"/>
  <c r="C10" i="4"/>
  <c r="C11" i="27" s="1"/>
  <c r="D10" i="4"/>
  <c r="D11" i="27" s="1"/>
  <c r="H10" i="4"/>
  <c r="H11" i="27" s="1"/>
  <c r="L10" i="4"/>
  <c r="L11" i="27" s="1"/>
  <c r="E10" i="4"/>
  <c r="E11" i="27" s="1"/>
  <c r="I10" i="4"/>
  <c r="I11" i="27" s="1"/>
  <c r="M10" i="4"/>
  <c r="M11" i="27" s="1"/>
  <c r="F10" i="4"/>
  <c r="F11" i="27" s="1"/>
  <c r="J10" i="4"/>
  <c r="J11" i="27" s="1"/>
  <c r="N10" i="4"/>
  <c r="N11" i="27" s="1"/>
  <c r="D17" i="13"/>
  <c r="D18" i="13" s="1"/>
  <c r="F13" i="27" l="1"/>
  <c r="J13" i="27"/>
  <c r="N13" i="27"/>
  <c r="H13" i="27"/>
  <c r="L13" i="27"/>
  <c r="I13" i="27"/>
  <c r="G13" i="27"/>
  <c r="K13" i="27"/>
  <c r="C13" i="27"/>
  <c r="D13" i="27"/>
  <c r="E13" i="27"/>
  <c r="M13" i="27"/>
  <c r="O10" i="4"/>
  <c r="O11" i="27" s="1"/>
  <c r="D13" i="9"/>
  <c r="D14" i="9" s="1"/>
  <c r="D13" i="8"/>
  <c r="E14" i="7"/>
  <c r="E15" i="7"/>
  <c r="E16" i="7"/>
  <c r="E17" i="7"/>
  <c r="E18" i="7"/>
  <c r="E19" i="7"/>
  <c r="E20" i="7"/>
  <c r="E21" i="7"/>
  <c r="E16" i="6"/>
  <c r="E17" i="6"/>
  <c r="E18" i="6"/>
  <c r="E19" i="6"/>
  <c r="E20" i="6"/>
  <c r="E21" i="6"/>
  <c r="E22" i="6"/>
  <c r="E23" i="6"/>
  <c r="E24" i="6"/>
  <c r="E25" i="6"/>
  <c r="E26" i="6"/>
  <c r="E27" i="6"/>
  <c r="E28" i="6"/>
  <c r="E29" i="6"/>
  <c r="E30" i="6"/>
  <c r="E31" i="6"/>
  <c r="E32" i="6"/>
  <c r="E33" i="6"/>
  <c r="E34" i="6"/>
  <c r="E35" i="6"/>
  <c r="E36" i="6"/>
  <c r="E37" i="6"/>
  <c r="D21" i="5"/>
  <c r="C9" i="26" l="1"/>
  <c r="C22" i="27"/>
  <c r="O22" i="27" s="1"/>
  <c r="D29" i="27"/>
  <c r="H29" i="27"/>
  <c r="L29" i="27"/>
  <c r="C29" i="27"/>
  <c r="K29" i="27"/>
  <c r="E29" i="27"/>
  <c r="I29" i="27"/>
  <c r="M29" i="27"/>
  <c r="G29" i="27"/>
  <c r="O29" i="27"/>
  <c r="F29" i="27"/>
  <c r="J29" i="27"/>
  <c r="N29" i="27"/>
  <c r="L30" i="27"/>
  <c r="G18" i="37" s="1"/>
  <c r="F30" i="27"/>
  <c r="I30" i="27"/>
  <c r="C9" i="4"/>
  <c r="C10" i="27" s="1"/>
  <c r="F9" i="4"/>
  <c r="F10" i="27" s="1"/>
  <c r="F33" i="27" s="1"/>
  <c r="J9" i="4"/>
  <c r="J10" i="27" s="1"/>
  <c r="N9" i="4"/>
  <c r="N10" i="27" s="1"/>
  <c r="G9" i="4"/>
  <c r="G10" i="27" s="1"/>
  <c r="K9" i="4"/>
  <c r="K10" i="27" s="1"/>
  <c r="D9" i="4"/>
  <c r="D10" i="27" s="1"/>
  <c r="D33" i="27" s="1"/>
  <c r="H9" i="4"/>
  <c r="H10" i="27" s="1"/>
  <c r="L9" i="4"/>
  <c r="L10" i="27" s="1"/>
  <c r="L33" i="27" s="1"/>
  <c r="E9" i="4"/>
  <c r="E10" i="27" s="1"/>
  <c r="I9" i="4"/>
  <c r="I10" i="27" s="1"/>
  <c r="M9" i="4"/>
  <c r="M10" i="27" s="1"/>
  <c r="F21" i="5"/>
  <c r="D23" i="5" s="1"/>
  <c r="F8" i="4"/>
  <c r="J8" i="4"/>
  <c r="N8" i="4"/>
  <c r="G8" i="4"/>
  <c r="K8" i="4"/>
  <c r="C8" i="4"/>
  <c r="D8" i="4"/>
  <c r="H8" i="4"/>
  <c r="L8" i="4"/>
  <c r="E8" i="4"/>
  <c r="I8" i="4"/>
  <c r="M8" i="4"/>
  <c r="D14" i="8"/>
  <c r="D15" i="8" s="1"/>
  <c r="O13" i="27"/>
  <c r="O12" i="4"/>
  <c r="E22" i="7"/>
  <c r="C6" i="26"/>
  <c r="D15" i="9"/>
  <c r="A13" i="37" l="1"/>
  <c r="D13" i="37"/>
  <c r="E23" i="7"/>
  <c r="E20" i="26"/>
  <c r="G20" i="26" s="1"/>
  <c r="H20" i="26" s="1"/>
  <c r="J23" i="4" s="1"/>
  <c r="F36" i="27"/>
  <c r="E33" i="27"/>
  <c r="E32" i="27"/>
  <c r="L36" i="27"/>
  <c r="K33" i="27"/>
  <c r="K32" i="27"/>
  <c r="H36" i="27"/>
  <c r="G33" i="27"/>
  <c r="G32" i="27"/>
  <c r="D36" i="27"/>
  <c r="N36" i="27"/>
  <c r="M33" i="27"/>
  <c r="M32" i="27"/>
  <c r="H33" i="27"/>
  <c r="H32" i="27"/>
  <c r="N33" i="27"/>
  <c r="N32" i="27"/>
  <c r="J36" i="27"/>
  <c r="I33" i="27"/>
  <c r="J33" i="27"/>
  <c r="J32" i="27"/>
  <c r="O30" i="27"/>
  <c r="D9" i="27"/>
  <c r="D34" i="27" s="1"/>
  <c r="O8" i="4"/>
  <c r="E24" i="7"/>
  <c r="D11" i="37"/>
  <c r="A11" i="37"/>
  <c r="C24" i="27"/>
  <c r="E21" i="26"/>
  <c r="G21" i="26" s="1"/>
  <c r="H21" i="26" s="1"/>
  <c r="A10" i="37"/>
  <c r="D10" i="37"/>
  <c r="C23" i="27"/>
  <c r="O23" i="27" s="1"/>
  <c r="E19" i="26"/>
  <c r="G19" i="26" s="1"/>
  <c r="H19" i="26" s="1"/>
  <c r="H22" i="4" s="1"/>
  <c r="A12" i="37"/>
  <c r="D12" i="37"/>
  <c r="C21" i="27"/>
  <c r="O21" i="27" s="1"/>
  <c r="E18" i="26"/>
  <c r="G18" i="26" s="1"/>
  <c r="C10" i="26"/>
  <c r="E39" i="6"/>
  <c r="E40" i="6" s="1"/>
  <c r="F14" i="1"/>
  <c r="G14" i="1"/>
  <c r="O14" i="1"/>
  <c r="I14" i="1"/>
  <c r="L14" i="1"/>
  <c r="H14" i="1"/>
  <c r="N14" i="1"/>
  <c r="M14" i="1"/>
  <c r="E14" i="1"/>
  <c r="J14" i="1"/>
  <c r="K14" i="1"/>
  <c r="C23" i="4" l="1"/>
  <c r="I23" i="4"/>
  <c r="N23" i="4"/>
  <c r="H23" i="4"/>
  <c r="D23" i="4"/>
  <c r="M23" i="4"/>
  <c r="L23" i="4"/>
  <c r="G23" i="4"/>
  <c r="C32" i="27"/>
  <c r="F23" i="4"/>
  <c r="E23" i="4"/>
  <c r="K23" i="4"/>
  <c r="G24" i="4"/>
  <c r="C24" i="4"/>
  <c r="C33" i="27"/>
  <c r="C35" i="27" s="1"/>
  <c r="C6" i="38" s="1"/>
  <c r="D32" i="27"/>
  <c r="O24" i="27"/>
  <c r="E22" i="4"/>
  <c r="N22" i="4"/>
  <c r="K24" i="4"/>
  <c r="I22" i="4"/>
  <c r="D24" i="4"/>
  <c r="O9" i="4"/>
  <c r="O10" i="27" s="1"/>
  <c r="O9" i="27"/>
  <c r="O34" i="27" s="1"/>
  <c r="G22" i="4"/>
  <c r="J22" i="4"/>
  <c r="L22" i="4"/>
  <c r="E24" i="4"/>
  <c r="J24" i="4"/>
  <c r="H24" i="4"/>
  <c r="D22" i="4"/>
  <c r="C22" i="4"/>
  <c r="K22" i="4"/>
  <c r="N24" i="4"/>
  <c r="L24" i="4"/>
  <c r="I24" i="4"/>
  <c r="M22" i="4"/>
  <c r="F22" i="4"/>
  <c r="F24" i="4"/>
  <c r="M24" i="4"/>
  <c r="A15" i="37"/>
  <c r="G22" i="26"/>
  <c r="D14" i="37" s="1"/>
  <c r="H18" i="26"/>
  <c r="C14" i="1"/>
  <c r="D14" i="1"/>
  <c r="O23" i="4" l="1"/>
  <c r="A16" i="37"/>
  <c r="D15" i="37" s="1"/>
  <c r="O33" i="27"/>
  <c r="O24" i="4"/>
  <c r="O22" i="4"/>
  <c r="G25" i="26"/>
  <c r="M25" i="4"/>
  <c r="M30" i="4" s="1"/>
  <c r="C25" i="4"/>
  <c r="C30" i="4" s="1"/>
  <c r="J25" i="4"/>
  <c r="J30" i="4" s="1"/>
  <c r="H22" i="26"/>
  <c r="G25" i="4"/>
  <c r="G30" i="4" s="1"/>
  <c r="H25" i="4"/>
  <c r="H30" i="4" s="1"/>
  <c r="D25" i="4"/>
  <c r="D30" i="4" s="1"/>
  <c r="N25" i="4"/>
  <c r="N30" i="4" s="1"/>
  <c r="L25" i="4"/>
  <c r="L30" i="4" s="1"/>
  <c r="F25" i="4"/>
  <c r="F30" i="4" s="1"/>
  <c r="E25" i="4"/>
  <c r="E30" i="4" s="1"/>
  <c r="K25" i="4"/>
  <c r="K30" i="4" s="1"/>
  <c r="I25" i="4"/>
  <c r="I30" i="4" s="1"/>
  <c r="I28" i="1"/>
  <c r="I36" i="4" s="1"/>
  <c r="C28" i="1"/>
  <c r="C36" i="4" s="1"/>
  <c r="G28" i="1"/>
  <c r="E28" i="1"/>
  <c r="F28" i="1"/>
  <c r="H28" i="1"/>
  <c r="K28" i="1"/>
  <c r="D28" i="1"/>
  <c r="L28" i="1"/>
  <c r="L36" i="4" s="1"/>
  <c r="M28" i="1"/>
  <c r="J28" i="1"/>
  <c r="N28" i="1"/>
  <c r="O25" i="4" l="1"/>
  <c r="C43" i="27"/>
  <c r="G36" i="4"/>
  <c r="D35" i="27"/>
  <c r="M36" i="4"/>
  <c r="C45" i="4"/>
  <c r="L35" i="27"/>
  <c r="J36" i="4"/>
  <c r="H36" i="4"/>
  <c r="F36" i="4"/>
  <c r="K36" i="4"/>
  <c r="N36" i="4"/>
  <c r="D36" i="4"/>
  <c r="E36" i="4"/>
  <c r="F35" i="27"/>
  <c r="C29" i="1"/>
  <c r="D37" i="27" l="1"/>
  <c r="H35" i="27"/>
  <c r="J35" i="27"/>
  <c r="E35" i="27"/>
  <c r="G35" i="27"/>
  <c r="K35" i="27"/>
  <c r="N35" i="27"/>
  <c r="M35" i="27"/>
  <c r="I35" i="27"/>
  <c r="O36" i="4"/>
  <c r="D43" i="27"/>
  <c r="D45" i="4"/>
  <c r="K45" i="4"/>
  <c r="K43" i="27"/>
  <c r="J45" i="4"/>
  <c r="J43" i="27"/>
  <c r="M43" i="27"/>
  <c r="M45" i="4"/>
  <c r="G43" i="27"/>
  <c r="G45" i="4"/>
  <c r="E43" i="27"/>
  <c r="E45" i="4"/>
  <c r="H43" i="27"/>
  <c r="H45" i="4"/>
  <c r="I43" i="27"/>
  <c r="I45" i="4"/>
  <c r="F43" i="27"/>
  <c r="F45" i="4"/>
  <c r="N43" i="27"/>
  <c r="N45" i="4"/>
  <c r="L43" i="27"/>
  <c r="L45" i="4"/>
  <c r="C48" i="27"/>
  <c r="C13" i="38" s="1"/>
  <c r="C47" i="27"/>
  <c r="C31" i="4"/>
  <c r="N37" i="27" l="1"/>
  <c r="K37" i="27"/>
  <c r="H37" i="27"/>
  <c r="J37" i="27"/>
  <c r="J54" i="27" s="1"/>
  <c r="G37" i="27"/>
  <c r="M37" i="27"/>
  <c r="E37" i="27"/>
  <c r="N54" i="27"/>
  <c r="G54" i="27"/>
  <c r="M54" i="27"/>
  <c r="K54" i="27"/>
  <c r="H54" i="27"/>
  <c r="K48" i="27"/>
  <c r="K13" i="38" s="1"/>
  <c r="K47" i="27"/>
  <c r="J47" i="27"/>
  <c r="J48" i="27"/>
  <c r="L48" i="27"/>
  <c r="L13" i="38" s="1"/>
  <c r="L47" i="27"/>
  <c r="F47" i="27"/>
  <c r="F48" i="27"/>
  <c r="F13" i="38" s="1"/>
  <c r="H48" i="27"/>
  <c r="H47" i="27"/>
  <c r="G48" i="27"/>
  <c r="G13" i="38" s="1"/>
  <c r="G47" i="27"/>
  <c r="D48" i="27"/>
  <c r="D13" i="38" s="1"/>
  <c r="D47" i="27"/>
  <c r="N48" i="27"/>
  <c r="N13" i="38" s="1"/>
  <c r="I48" i="27"/>
  <c r="I13" i="38" s="1"/>
  <c r="I47" i="27"/>
  <c r="E48" i="27"/>
  <c r="E13" i="38" s="1"/>
  <c r="E47" i="27"/>
  <c r="M48" i="27"/>
  <c r="M13" i="38" s="1"/>
  <c r="M47" i="27"/>
  <c r="D54" i="27"/>
  <c r="O45" i="4"/>
  <c r="O43" i="27"/>
  <c r="C49" i="27"/>
  <c r="C55" i="27" s="1"/>
  <c r="C38" i="4"/>
  <c r="O35" i="27" l="1"/>
  <c r="C37" i="27"/>
  <c r="C54" i="27" s="1"/>
  <c r="C56" i="27" s="1"/>
  <c r="P45" i="4"/>
  <c r="G19" i="37" s="1"/>
  <c r="G22" i="37" s="1"/>
  <c r="E49" i="27"/>
  <c r="E55" i="27" s="1"/>
  <c r="G49" i="27"/>
  <c r="G55" i="27" s="1"/>
  <c r="D49" i="27"/>
  <c r="D55" i="27" s="1"/>
  <c r="H49" i="27"/>
  <c r="H55" i="27" s="1"/>
  <c r="L49" i="27"/>
  <c r="L55" i="27" s="1"/>
  <c r="N49" i="27"/>
  <c r="N55" i="27" s="1"/>
  <c r="F49" i="27"/>
  <c r="F55" i="27" s="1"/>
  <c r="J49" i="27"/>
  <c r="J55" i="27" s="1"/>
  <c r="N14" i="38"/>
  <c r="J24" i="38" s="1"/>
  <c r="M55" i="27"/>
  <c r="I49" i="27"/>
  <c r="I55" i="27" s="1"/>
  <c r="K49" i="27"/>
  <c r="K55" i="27" s="1"/>
  <c r="O47" i="27"/>
  <c r="E14" i="38"/>
  <c r="J13" i="38"/>
  <c r="K14" i="38" s="1"/>
  <c r="H24" i="38" s="1"/>
  <c r="O48" i="27"/>
  <c r="H13" i="38"/>
  <c r="H14" i="38" s="1"/>
  <c r="F24" i="38" s="1"/>
  <c r="K7" i="38"/>
  <c r="G24" i="38" s="1"/>
  <c r="G26" i="38" l="1"/>
  <c r="L28" i="27" s="1"/>
  <c r="L32" i="27" s="1"/>
  <c r="Q45" i="4"/>
  <c r="D56" i="27"/>
  <c r="C24" i="38"/>
  <c r="D24" i="38"/>
  <c r="O49" i="27"/>
  <c r="G7" i="37" l="1"/>
  <c r="G15" i="37" s="1"/>
  <c r="F43" i="39" s="1"/>
  <c r="C26" i="38"/>
  <c r="N7" i="38"/>
  <c r="I24" i="38" s="1"/>
  <c r="I26" i="38" s="1"/>
  <c r="F28" i="27" l="1"/>
  <c r="F32" i="27" s="1"/>
  <c r="H7" i="38"/>
  <c r="F37" i="27" l="1"/>
  <c r="F54" i="27" s="1"/>
  <c r="E24" i="38"/>
  <c r="G17" i="37" l="1"/>
  <c r="G24" i="37" s="1"/>
  <c r="E26" i="38"/>
  <c r="I28" i="27" s="1"/>
  <c r="I32" i="27" s="1"/>
  <c r="L37" i="27"/>
  <c r="I37" i="27" l="1"/>
  <c r="I54" i="27" s="1"/>
  <c r="F29" i="39"/>
  <c r="F25" i="39"/>
  <c r="O28" i="27"/>
  <c r="O32" i="27" s="1"/>
  <c r="L54" i="27" l="1"/>
  <c r="P32" i="27"/>
  <c r="O37" i="27" l="1"/>
  <c r="E54" i="27"/>
  <c r="E56" i="27" s="1"/>
  <c r="F56" i="27" s="1"/>
  <c r="G56" i="27" s="1"/>
  <c r="H56" i="27" s="1"/>
  <c r="I56" i="27" s="1"/>
  <c r="J56" i="27" s="1"/>
  <c r="K56" i="27" s="1"/>
  <c r="L56" i="27" s="1"/>
  <c r="M56" i="27" s="1"/>
  <c r="N56" i="27" s="1"/>
  <c r="D19" i="37" s="1"/>
  <c r="D22" i="37" l="1"/>
  <c r="F7" i="39"/>
  <c r="D24" i="37" l="1"/>
  <c r="F3" i="39"/>
  <c r="F16" i="39"/>
  <c r="F12" i="39"/>
  <c r="G28" i="37" l="1"/>
  <c r="F20" i="39"/>
  <c r="F34" i="39"/>
</calcChain>
</file>

<file path=xl/sharedStrings.xml><?xml version="1.0" encoding="utf-8"?>
<sst xmlns="http://schemas.openxmlformats.org/spreadsheetml/2006/main" count="1115" uniqueCount="497">
  <si>
    <t>enero</t>
  </si>
  <si>
    <t xml:space="preserve">febrero </t>
  </si>
  <si>
    <t>marzo</t>
  </si>
  <si>
    <t>abril</t>
  </si>
  <si>
    <t>mayo</t>
  </si>
  <si>
    <t>junio</t>
  </si>
  <si>
    <t>julio</t>
  </si>
  <si>
    <t>agosto</t>
  </si>
  <si>
    <t>septiembre</t>
  </si>
  <si>
    <t>octubre</t>
  </si>
  <si>
    <t>noviembre</t>
  </si>
  <si>
    <t>diciembre</t>
  </si>
  <si>
    <t>febrero</t>
  </si>
  <si>
    <t>Precio Unitario</t>
  </si>
  <si>
    <t>TOTAL</t>
  </si>
  <si>
    <t>TOTAL ANUAL</t>
  </si>
  <si>
    <t>Prevesión de ventas año 2023</t>
  </si>
  <si>
    <t>ENERO</t>
  </si>
  <si>
    <t>FEBRERO</t>
  </si>
  <si>
    <t>MARZO</t>
  </si>
  <si>
    <t>ABRIL</t>
  </si>
  <si>
    <t>MAYO</t>
  </si>
  <si>
    <t>JUNIO</t>
  </si>
  <si>
    <t>JULIO</t>
  </si>
  <si>
    <t>AGOSTO</t>
  </si>
  <si>
    <t>SEPTIEMBRE</t>
  </si>
  <si>
    <t>OCTUBRE</t>
  </si>
  <si>
    <t>NOVIEMBRE</t>
  </si>
  <si>
    <t>DICIEMBRE</t>
  </si>
  <si>
    <t>Iberdrola</t>
  </si>
  <si>
    <t>Vodafone</t>
  </si>
  <si>
    <t>ARRENDAMIENTOS</t>
  </si>
  <si>
    <t>Alquiler nave</t>
  </si>
  <si>
    <t>GASTOS DE PERSONAL</t>
  </si>
  <si>
    <t>Sueldos y salarios</t>
  </si>
  <si>
    <t>Seguridad social c/e</t>
  </si>
  <si>
    <t>Canal de Isabel II</t>
  </si>
  <si>
    <t>Prima de seguros</t>
  </si>
  <si>
    <t>Escriba la dirección de la empresa, la ciudad, provincia, código postal, números de teléfono y fax, y dirección de correo electrónico en la celda de la derecha.</t>
  </si>
  <si>
    <t>El mensaje de agradecimiento está en la celda de la derecha.</t>
  </si>
  <si>
    <t>El nombre de la compañía se actualiza automáticamente en la celda D40.</t>
  </si>
  <si>
    <t>TOTAL FACTURA (I.V.A incluido)</t>
  </si>
  <si>
    <t xml:space="preserve">IMPORTE I.V.A </t>
  </si>
  <si>
    <t>ALCANTARILLADO</t>
  </si>
  <si>
    <t>DEPURACIÓN</t>
  </si>
  <si>
    <t>DISTRIBUCIÓN</t>
  </si>
  <si>
    <t>ADUCCIÓN</t>
  </si>
  <si>
    <t>Columna2</t>
  </si>
  <si>
    <t>Columna1</t>
  </si>
  <si>
    <t>IMPORTE SIN IVA (10%)</t>
  </si>
  <si>
    <t>CONCEPTO</t>
  </si>
  <si>
    <t>Escriba la información en la tabla Factura que comienza en la celda de la derecha. El total y el subtotal se calculan automáticamente. La instrucción siguiente se encuentra en la celda A40.</t>
  </si>
  <si>
    <r>
      <t xml:space="preserve">Teléfono                                  </t>
    </r>
    <r>
      <rPr>
        <sz val="9"/>
        <color theme="1" tint="4.9989318521683403E-2"/>
        <rFont val="Calibri"/>
        <family val="2"/>
        <scheme val="minor"/>
      </rPr>
      <t>925 15 25 15</t>
    </r>
  </si>
  <si>
    <r>
      <t xml:space="preserve">Ciudad y código postal      </t>
    </r>
    <r>
      <rPr>
        <sz val="9"/>
        <color theme="1" tint="4.9989318521683403E-2"/>
        <rFont val="Calibri"/>
        <family val="2"/>
        <scheme val="minor"/>
      </rPr>
      <t>MADRID 28038</t>
    </r>
  </si>
  <si>
    <r>
      <t xml:space="preserve">Dirección                                </t>
    </r>
    <r>
      <rPr>
        <sz val="9"/>
        <color theme="1" tint="4.9989318521683403E-2"/>
        <rFont val="Calibri"/>
        <family val="2"/>
        <scheme val="minor"/>
      </rPr>
      <t xml:space="preserve">C/Doctor Salgado </t>
    </r>
  </si>
  <si>
    <t>Para:</t>
  </si>
  <si>
    <t>La etiqueta Para se encuentra en la celda de la derecha. Escriba datos de facturación como nombre, nombre de la compañía, dirección y número de teléfono en las celdas C6 a C10. La instrucción siguiente se encuentra en la celda A11.</t>
  </si>
  <si>
    <t>Escriba el Id. de cliente en la celda E5.</t>
  </si>
  <si>
    <t>N.º16</t>
  </si>
  <si>
    <t>N.º de factura:</t>
  </si>
  <si>
    <t>Escriba el eslogan de la empresa en la celda de la derecha y el número de factura en la celda E4.</t>
  </si>
  <si>
    <t>Fecha:</t>
  </si>
  <si>
    <t>El nombre de su empresa</t>
  </si>
  <si>
    <t>Escriba el nombre de la empresa en la celda de la derecha y la fecha en la celda E3.</t>
  </si>
  <si>
    <t>Factura</t>
  </si>
  <si>
    <t>El marcador del logotipo se encuentra en esta celda.</t>
  </si>
  <si>
    <t>Pegue el logotipo de la empresa en la celda de la derecha. El título de esta hoja de cálculo está en la celda D2.</t>
  </si>
  <si>
    <t>Elabore una factura de servicio sencilla en esta hoja de cálculo. Encontrará instrucciones útiles sobre cómo usar esta hoja de cálculo en las celdas de esta columna. Presione la flecha de abajo para empezar.</t>
  </si>
  <si>
    <t>I.V.A  21%</t>
  </si>
  <si>
    <t>SUBTOTAL</t>
  </si>
  <si>
    <t>Mesa café</t>
  </si>
  <si>
    <t>Flexo negro</t>
  </si>
  <si>
    <t>Mesa oficina madera</t>
  </si>
  <si>
    <t>Espejo</t>
  </si>
  <si>
    <t>Inodoro</t>
  </si>
  <si>
    <t>Puerta lisa blanca</t>
  </si>
  <si>
    <t>Puerta principal madera blindada</t>
  </si>
  <si>
    <t>Ventana doble blanca</t>
  </si>
  <si>
    <t>Lámpara #45</t>
  </si>
  <si>
    <t xml:space="preserve">Lavabo </t>
  </si>
  <si>
    <t>Escalera</t>
  </si>
  <si>
    <t>Estantería francés</t>
  </si>
  <si>
    <t>Silla de oficina</t>
  </si>
  <si>
    <t>Mini sofá</t>
  </si>
  <si>
    <t>Cubo de basura</t>
  </si>
  <si>
    <t>P.Unitario</t>
  </si>
  <si>
    <t>UNIDADES</t>
  </si>
  <si>
    <t>DESCRIPCIÓN DE CARGO FINANCIERO</t>
  </si>
  <si>
    <t>918 15 25 35</t>
  </si>
  <si>
    <t>Teléfono</t>
  </si>
  <si>
    <t>Madrid, 28038</t>
  </si>
  <si>
    <t>Ciudad, provincia y código postal</t>
  </si>
  <si>
    <t>Doctor Salgado Nº16</t>
  </si>
  <si>
    <t>Dirección</t>
  </si>
  <si>
    <t>Nombre</t>
  </si>
  <si>
    <t>ENVIAR A</t>
  </si>
  <si>
    <t>Correo electrónico     so.contabilidad.rg.es@ikea.com</t>
  </si>
  <si>
    <t>ABC12345</t>
  </si>
  <si>
    <t>ID. DEL CLIENTE</t>
  </si>
  <si>
    <t>Teléfono | Fax      910378769</t>
  </si>
  <si>
    <t>FECHA</t>
  </si>
  <si>
    <t>Ciudad, provincia y código postal  28708, MADRID</t>
  </si>
  <si>
    <t>N.º DE FACTURA</t>
  </si>
  <si>
    <t>Dirección          Avenida Matapiñonera, 9</t>
  </si>
  <si>
    <t>FACTURA</t>
  </si>
  <si>
    <t xml:space="preserve"> </t>
  </si>
  <si>
    <t>GRACIAS POR SU CONFIANZA</t>
  </si>
  <si>
    <t>Impresora</t>
  </si>
  <si>
    <t xml:space="preserve">Telefonillo </t>
  </si>
  <si>
    <t>Alarma de seguridad</t>
  </si>
  <si>
    <t>Aire acondicionado MXC</t>
  </si>
  <si>
    <t xml:space="preserve">Teléfono fijo </t>
  </si>
  <si>
    <t>Televisor pantalla plana 75px</t>
  </si>
  <si>
    <t xml:space="preserve">Ordenador portátil </t>
  </si>
  <si>
    <t>Unidades</t>
  </si>
  <si>
    <t>DESCRIPCIÓN</t>
  </si>
  <si>
    <r>
      <rPr>
        <b/>
        <sz val="11"/>
        <color theme="5" tint="-0.24994659260841701"/>
        <rFont val="Calibri Light"/>
        <family val="2"/>
        <scheme val="major"/>
      </rPr>
      <t>Teléfono</t>
    </r>
    <r>
      <rPr>
        <sz val="11"/>
        <color theme="5" tint="-0.24994659260841701"/>
        <rFont val="Calibri Light"/>
        <family val="2"/>
        <scheme val="major"/>
      </rPr>
      <t xml:space="preserve">  925 15 25 15 </t>
    </r>
  </si>
  <si>
    <r>
      <rPr>
        <b/>
        <sz val="11"/>
        <color theme="5" tint="-0.24994659260841701"/>
        <rFont val="Calibri Light"/>
        <family val="2"/>
        <scheme val="major"/>
      </rPr>
      <t xml:space="preserve">Ciudad, estado/provincia y código postal </t>
    </r>
    <r>
      <rPr>
        <sz val="11"/>
        <color theme="5" tint="-0.24994659260841701"/>
        <rFont val="Calibri Light"/>
        <family val="2"/>
        <scheme val="major"/>
      </rPr>
      <t xml:space="preserve">   Madrid, 28308</t>
    </r>
  </si>
  <si>
    <r>
      <rPr>
        <b/>
        <sz val="11"/>
        <color theme="5" tint="-0.24994659260841701"/>
        <rFont val="Calibri Light"/>
        <family val="2"/>
        <scheme val="major"/>
      </rPr>
      <t>Dirección</t>
    </r>
    <r>
      <rPr>
        <sz val="11"/>
        <color theme="5" tint="-0.24994659260841701"/>
        <rFont val="Calibri Light"/>
        <family val="2"/>
        <scheme val="major"/>
      </rPr>
      <t xml:space="preserve">     C/DOCTOR SALGADO</t>
    </r>
  </si>
  <si>
    <r>
      <t xml:space="preserve">correo electrónico   </t>
    </r>
    <r>
      <rPr>
        <sz val="11"/>
        <color theme="5" tint="-0.24994659260841701"/>
        <rFont val="Calibri Light"/>
        <family val="2"/>
        <scheme val="major"/>
      </rPr>
      <t>bonificaciones@mediamarkt.es</t>
    </r>
  </si>
  <si>
    <r>
      <t xml:space="preserve">Teléfono  </t>
    </r>
    <r>
      <rPr>
        <sz val="11"/>
        <color theme="5" tint="-0.24994659260841701"/>
        <rFont val="Calibri Light"/>
        <family val="2"/>
        <scheme val="major"/>
      </rPr>
      <t>934 75 00 00</t>
    </r>
  </si>
  <si>
    <r>
      <t xml:space="preserve">Ciudad, estado/provincia y código postal  </t>
    </r>
    <r>
      <rPr>
        <sz val="11"/>
        <color theme="5" tint="-0.24994659260841701"/>
        <rFont val="Calibri Light"/>
        <family val="2"/>
        <scheme val="major"/>
      </rPr>
      <t>BARCELONA, 08820</t>
    </r>
  </si>
  <si>
    <r>
      <rPr>
        <b/>
        <sz val="11"/>
        <color theme="5" tint="-0.24994659260841701"/>
        <rFont val="Calibri Light"/>
        <family val="2"/>
        <scheme val="major"/>
      </rPr>
      <t>Dirección</t>
    </r>
    <r>
      <rPr>
        <sz val="11"/>
        <color theme="5" tint="-0.24994659260841701"/>
        <rFont val="Calibri Light"/>
        <family val="2"/>
        <scheme val="major"/>
      </rPr>
      <t xml:space="preserve">      CALLE SOLSONES, 2</t>
    </r>
  </si>
  <si>
    <t>TASA DE IMPUESTO</t>
  </si>
  <si>
    <t>SERVIO Y OTROS CONCEPTOS</t>
  </si>
  <si>
    <t>ENERGIA</t>
  </si>
  <si>
    <t>IMPORTE</t>
  </si>
  <si>
    <t>RESUMEN DE FACTURACION</t>
  </si>
  <si>
    <t>Descripción del proyecto o servicio</t>
  </si>
  <si>
    <t xml:space="preserve">925 15 25 15 </t>
  </si>
  <si>
    <t>Fax</t>
  </si>
  <si>
    <t>Madrid, 28308</t>
  </si>
  <si>
    <t>Ciudad y código postal</t>
  </si>
  <si>
    <t>C/DOCTOR SALGADO</t>
  </si>
  <si>
    <t>Nombre de la empresa</t>
  </si>
  <si>
    <t>FACTURAR A:</t>
  </si>
  <si>
    <t>N. º DE FACTURA</t>
  </si>
  <si>
    <t>FECHA:</t>
  </si>
  <si>
    <t xml:space="preserve">GRACIAS POR SU CONFIANZA </t>
  </si>
  <si>
    <t>Teléfono                              925 21 51 2 4</t>
  </si>
  <si>
    <t>Ciudad, código postal        MADRID, 28038</t>
  </si>
  <si>
    <t>Dirección                             C/DOCTOR SALGADO</t>
  </si>
  <si>
    <t>Teléfono | Fax</t>
  </si>
  <si>
    <t>Ciudad, código postal</t>
  </si>
  <si>
    <t>PRECIO</t>
  </si>
  <si>
    <t>IVA del 21%</t>
  </si>
  <si>
    <t>Si tiene cualquier tipo de pregunta acerca de esta factura, póngase en contacto con Nombre, Número de teléfono o Correo electrónico</t>
  </si>
  <si>
    <t>Facturar a:</t>
  </si>
  <si>
    <t>Dirección                                  C/DOCTOR SALGADO</t>
  </si>
  <si>
    <t>Ciudad, estado/provincia y código postal       MADRID, 28308</t>
  </si>
  <si>
    <t>Teléfono        925 15 25 15</t>
  </si>
  <si>
    <t>Llamadas y videollamadas</t>
  </si>
  <si>
    <t>Mensajes</t>
  </si>
  <si>
    <t>Conexiones lived y datos</t>
  </si>
  <si>
    <t>IVA 21%</t>
  </si>
  <si>
    <t>Dirección        Avenida de América, 115</t>
  </si>
  <si>
    <t>Ciudad, estado/provincia y código postal  Madrid 28042</t>
  </si>
  <si>
    <t>[Número de] teléfono  921564564</t>
  </si>
  <si>
    <t>TOTAL A PAGAR</t>
  </si>
  <si>
    <t>PLAN DE INVERSIÓN</t>
  </si>
  <si>
    <t>ELEMENTOS</t>
  </si>
  <si>
    <t>CUANTÍA</t>
  </si>
  <si>
    <t>APLICACIONES INFORMÁTICAS</t>
  </si>
  <si>
    <t>MOBILIARIO</t>
  </si>
  <si>
    <t>EQUIPOS PARA EL PROCESO DE INFORMACIÓN</t>
  </si>
  <si>
    <t>OTRO INMOVILIZADO MATERIAL</t>
  </si>
  <si>
    <t>OTRAS INSTALACIONES</t>
  </si>
  <si>
    <t>Ciudad, estado/provincia y código postal</t>
  </si>
  <si>
    <t>Fecha</t>
  </si>
  <si>
    <t>Dirección                               C/DOCTOR SALGADO</t>
  </si>
  <si>
    <t>Ciudad, estado/provincia y código postal        MADRID, 28038</t>
  </si>
  <si>
    <t>Teléfono                        925 15 25 15</t>
  </si>
  <si>
    <t>Smartwares Extintor de Polvo Seco, 1 KG, Resistencia al Fuego ABC</t>
  </si>
  <si>
    <t>Programa Contabilidad Profesional de Aplifisa</t>
  </si>
  <si>
    <t>Microsoft 365 Empresa Estándar</t>
  </si>
  <si>
    <t>BASE IMPONIBLE</t>
  </si>
  <si>
    <t>I.V.A 21%</t>
  </si>
  <si>
    <t>Son office y aplifisa</t>
  </si>
  <si>
    <t>todo lo de ikea</t>
  </si>
  <si>
    <t>extintores, telefono fijo</t>
  </si>
  <si>
    <t>MADRID 28038</t>
  </si>
  <si>
    <t>925 15 25 15</t>
  </si>
  <si>
    <t>INMOVILIZADO INTANGIBLE</t>
  </si>
  <si>
    <t>INMOVILIZADO MATERIAL</t>
  </si>
  <si>
    <t>Cuota anual</t>
  </si>
  <si>
    <t>Cuota mensual</t>
  </si>
  <si>
    <t>Valor</t>
  </si>
  <si>
    <t>Periodo (años)</t>
  </si>
  <si>
    <t>Amortización intangible</t>
  </si>
  <si>
    <t>Amortización material</t>
  </si>
  <si>
    <t>CUOTA AMORTIZ. TOTAL ANUAL</t>
  </si>
  <si>
    <t>AMORTIZACIONES</t>
  </si>
  <si>
    <t>INTANGIBLE</t>
  </si>
  <si>
    <t>Aplicaciones informáticas</t>
  </si>
  <si>
    <t>MATERIAL</t>
  </si>
  <si>
    <t>Equipos para el proceso de información</t>
  </si>
  <si>
    <t>Otro inmovilizado material</t>
  </si>
  <si>
    <t>Otras instalaciones</t>
  </si>
  <si>
    <t xml:space="preserve">SERVICIOS EXTERNOS </t>
  </si>
  <si>
    <t>Mobiliario</t>
  </si>
  <si>
    <t>CANTIDAD</t>
  </si>
  <si>
    <t>Teléfono                             925 15 25 15</t>
  </si>
  <si>
    <t>Ciudad, código postal       MADRID, 28038</t>
  </si>
  <si>
    <t>Dirección                           C/DOCTOR SALGADO</t>
  </si>
  <si>
    <t>Póliza de seguro cobertuta total</t>
  </si>
  <si>
    <t>Dirección                                C. de Emilio Vargas, 6</t>
  </si>
  <si>
    <t>Ciudad, código postal        28043 Madrid</t>
  </si>
  <si>
    <t>Teléfono | Fax                      902 40 40 84</t>
  </si>
  <si>
    <t>Nº factura:</t>
  </si>
  <si>
    <t>SERVICIOS PROFESIONALES INDEPENDIENTES</t>
  </si>
  <si>
    <t>Nombre del cliente</t>
  </si>
  <si>
    <t>EXTRACTO DE LA CUENTA</t>
  </si>
  <si>
    <t>Teléfono:</t>
  </si>
  <si>
    <t>Ciudad, estado/provincia y código postal:</t>
  </si>
  <si>
    <t>Dirección de la empresa:</t>
  </si>
  <si>
    <t xml:space="preserve">Fecha del extracto: </t>
  </si>
  <si>
    <t>Nombre de la empresa:</t>
  </si>
  <si>
    <t>Revisión total del vehículo</t>
  </si>
  <si>
    <t>Precio unitario</t>
  </si>
  <si>
    <t>Base imponible</t>
  </si>
  <si>
    <t>Nº factura</t>
  </si>
  <si>
    <t>Notario</t>
  </si>
  <si>
    <t>Trámite</t>
  </si>
  <si>
    <t>Total a pagar en 15 días. Cuentas vencidas sujetas a un cargo por servicios de 1% al mes.</t>
  </si>
  <si>
    <t>Teléfono                          925 15 25 15</t>
  </si>
  <si>
    <t>Ciudad, código postal   MADRID 28038</t>
  </si>
  <si>
    <t>Dirección                         C/DOCTOR SALGADO</t>
  </si>
  <si>
    <t>Nº FACTURA:</t>
  </si>
  <si>
    <t>Nombre:       NOTARÍA ORENSE 8</t>
  </si>
  <si>
    <t>Servicio profesional asesoría</t>
  </si>
  <si>
    <t>Teléfono | Fax          921 24 52 55</t>
  </si>
  <si>
    <r>
      <rPr>
        <b/>
        <sz val="12"/>
        <color theme="1"/>
        <rFont val="Calibri"/>
        <family val="2"/>
        <scheme val="minor"/>
      </rPr>
      <t>Condiciones:</t>
    </r>
    <r>
      <rPr>
        <sz val="12"/>
        <color theme="1"/>
        <rFont val="Calibri"/>
        <family val="2"/>
        <scheme val="minor"/>
      </rPr>
      <t xml:space="preserve"> Saldo a pagar en 30 días.</t>
    </r>
  </si>
  <si>
    <r>
      <rPr>
        <b/>
        <sz val="12"/>
        <color theme="1"/>
        <rFont val="Calibri"/>
        <family val="2"/>
        <scheme val="minor"/>
      </rPr>
      <t>Aviso:</t>
    </r>
    <r>
      <rPr>
        <sz val="12"/>
        <color theme="1"/>
        <rFont val="Calibri"/>
        <family val="2"/>
        <scheme val="minor"/>
      </rPr>
      <t xml:space="preserve"> Incluya el número del extracto en el cheque.</t>
    </r>
  </si>
  <si>
    <t>Factura para:</t>
  </si>
  <si>
    <t>Extracto</t>
  </si>
  <si>
    <t>Ciudad, estado y código postal</t>
  </si>
  <si>
    <t>Dirección:</t>
  </si>
  <si>
    <t>Pago del trámite para la copnstiutución de una empresa</t>
  </si>
  <si>
    <t>Dirección                          C/DOCTOR SALGADO</t>
  </si>
  <si>
    <t>GASTOS TOTALES</t>
  </si>
  <si>
    <t>Resultado</t>
  </si>
  <si>
    <t>Base sujeta a retención del I.R.P.F..............................</t>
  </si>
  <si>
    <t>5.</t>
  </si>
  <si>
    <t>Base de Cotización Horas Extras Resto.......................</t>
  </si>
  <si>
    <t>4.</t>
  </si>
  <si>
    <t>Base de Cotización Horas Extras Fuerza Mayor...........</t>
  </si>
  <si>
    <t>3.</t>
  </si>
  <si>
    <t>Fondo Garantía Social………..</t>
  </si>
  <si>
    <t>Formación Profesional………...</t>
  </si>
  <si>
    <t>Conting. Profesionales</t>
  </si>
  <si>
    <t>Desempleo……………………..</t>
  </si>
  <si>
    <t xml:space="preserve">Base de Cotización </t>
  </si>
  <si>
    <t>2.</t>
  </si>
  <si>
    <t>AT y EP ( Aportación empresa)……………………………………..</t>
  </si>
  <si>
    <t>TOTAL...........................</t>
  </si>
  <si>
    <t>Prorrata pagas extras.................................................</t>
  </si>
  <si>
    <t>EMPRESA</t>
  </si>
  <si>
    <t>Remuneración mensual sujeta a cotización..................</t>
  </si>
  <si>
    <t>APORTACION</t>
  </si>
  <si>
    <t>TIPO</t>
  </si>
  <si>
    <t>BASE</t>
  </si>
  <si>
    <t>Base de Cotización por Contingencias Comunes:</t>
  </si>
  <si>
    <t>1.</t>
  </si>
  <si>
    <t>DETERMINACION DE LAS BASES DE COTIZA. A LA S.S. Y CONCEPTOS DE RECAUDACION CONJUNTA Y DE LA BASE SUJETA A RETENCION DEL I.R.P.F.:</t>
  </si>
  <si>
    <t>RECIBI</t>
  </si>
  <si>
    <t xml:space="preserve">de </t>
  </si>
  <si>
    <t>de</t>
  </si>
  <si>
    <t>de la Empresa</t>
  </si>
  <si>
    <t>LIQUIDO TOTAL A PERCIBIR (A-B)......................</t>
  </si>
  <si>
    <t>Firma y sello</t>
  </si>
  <si>
    <t>B.- TOTAL A DEDUCIR...................................................</t>
  </si>
  <si>
    <t>Otras deducciones.........................................................................................................</t>
  </si>
  <si>
    <t>5.-</t>
  </si>
  <si>
    <t>Valor de los productos recibidos en especie..................................................................</t>
  </si>
  <si>
    <t>4.-</t>
  </si>
  <si>
    <t>Anticipos.........................................................................................................................</t>
  </si>
  <si>
    <t>3.-</t>
  </si>
  <si>
    <t>........................</t>
  </si>
  <si>
    <t>%</t>
  </si>
  <si>
    <t>Impuesto sobre la Renta de las Personas Fisicas</t>
  </si>
  <si>
    <t>TOTAL APORTACIONES.............................................................................</t>
  </si>
  <si>
    <t>Horas Extras Resto..................................................</t>
  </si>
  <si>
    <t>Horas Extras Fuerza Mayor...................................</t>
  </si>
  <si>
    <t>Formación Profesional............................................</t>
  </si>
  <si>
    <t>Desempleo.................................................................</t>
  </si>
  <si>
    <t>Contingencias Comunes.........................................</t>
  </si>
  <si>
    <t>Aportaciones del trabajador a las cotizaciones a la S.S. Y conceptos de recaudación conjunta:</t>
  </si>
  <si>
    <t>DEDUCCIONES</t>
  </si>
  <si>
    <t>II.-</t>
  </si>
  <si>
    <t>A.- TOTAL DEVENGADO................................................</t>
  </si>
  <si>
    <t>....................</t>
  </si>
  <si>
    <t>Otras percepciones salariales:</t>
  </si>
  <si>
    <t>Indemnizaciones por traslados, suspensiones o despidos:</t>
  </si>
  <si>
    <t>Prestaciones e indemnizaciones de la Seguridad Social:</t>
  </si>
  <si>
    <t>Indemnizaciones o suplidos:</t>
  </si>
  <si>
    <r>
      <t>Percepciones no salariales</t>
    </r>
    <r>
      <rPr>
        <sz val="8"/>
        <rFont val="Arial"/>
        <family val="2"/>
      </rPr>
      <t xml:space="preserve"> (Excluidas de cotización)</t>
    </r>
  </si>
  <si>
    <t>2.-</t>
  </si>
  <si>
    <t>Salario en especie.........................................................................................</t>
  </si>
  <si>
    <t>Gratificaciones extraordinarias......................................................................</t>
  </si>
  <si>
    <t>Horas Complementarias (contratos a tiempo parcial)..................................</t>
  </si>
  <si>
    <t>Horas Extras Resto........................................................................................</t>
  </si>
  <si>
    <t>Horas Extras Fuerza Mayor...........................................................................</t>
  </si>
  <si>
    <t>Complentos Salariales:</t>
  </si>
  <si>
    <t>Salario Base................................................................................................</t>
  </si>
  <si>
    <r>
      <t xml:space="preserve">Percepciones Salariales </t>
    </r>
    <r>
      <rPr>
        <sz val="8"/>
        <rFont val="Arial"/>
        <family val="2"/>
      </rPr>
      <t>(Sujetas a cotización)</t>
    </r>
  </si>
  <si>
    <t>1.-</t>
  </si>
  <si>
    <t>TOTALES</t>
  </si>
  <si>
    <t>DEVENGOS</t>
  </si>
  <si>
    <t>I.</t>
  </si>
  <si>
    <t>Total días:</t>
  </si>
  <si>
    <t>al</t>
  </si>
  <si>
    <t>del</t>
  </si>
  <si>
    <t>Periodo de Liquidación:</t>
  </si>
  <si>
    <t>Grupo Cotiz.:</t>
  </si>
  <si>
    <t>1234567892</t>
  </si>
  <si>
    <t>CCC a la SS:</t>
  </si>
  <si>
    <t>Grupo Profesional</t>
  </si>
  <si>
    <t>B45123452</t>
  </si>
  <si>
    <t>CIF:</t>
  </si>
  <si>
    <t>416565179144</t>
  </si>
  <si>
    <t>NAF:</t>
  </si>
  <si>
    <t>Madrid</t>
  </si>
  <si>
    <t>Localidad:</t>
  </si>
  <si>
    <t>02266885Z</t>
  </si>
  <si>
    <t>NIF:</t>
  </si>
  <si>
    <t>C/Doctor Salgado</t>
  </si>
  <si>
    <t>Domicilio:</t>
  </si>
  <si>
    <t>Marcos Rodríguez López</t>
  </si>
  <si>
    <t>Trabajador:</t>
  </si>
  <si>
    <t>MERAKI, S.L.</t>
  </si>
  <si>
    <t>Empresa:</t>
  </si>
  <si>
    <t>446565879147</t>
  </si>
  <si>
    <t>02548658P</t>
  </si>
  <si>
    <t>446567914763</t>
  </si>
  <si>
    <t>03547821C</t>
  </si>
  <si>
    <t>Laura García Peña</t>
  </si>
  <si>
    <t>1</t>
  </si>
  <si>
    <t>ingeniero y licenciados</t>
  </si>
  <si>
    <t>Brenda Fernández Sánchez</t>
  </si>
  <si>
    <t>RETA</t>
  </si>
  <si>
    <t>Importe</t>
  </si>
  <si>
    <t xml:space="preserve">Tipo cuota </t>
  </si>
  <si>
    <t>Socio</t>
  </si>
  <si>
    <t>Cuota Autónomo Seguridad Social</t>
  </si>
  <si>
    <t>Total</t>
  </si>
  <si>
    <t>Retención</t>
  </si>
  <si>
    <t>S.S c/e</t>
  </si>
  <si>
    <t>Trabajador</t>
  </si>
  <si>
    <t>Cuota Seguridad Social</t>
  </si>
  <si>
    <t>Sueldo neto</t>
  </si>
  <si>
    <t>IRPF</t>
  </si>
  <si>
    <t>S.S. c/t</t>
  </si>
  <si>
    <t>Sueldo bruto</t>
  </si>
  <si>
    <t>Nóminas</t>
  </si>
  <si>
    <t>PAGOS</t>
  </si>
  <si>
    <t>COBROS</t>
  </si>
  <si>
    <t>Total ventas</t>
  </si>
  <si>
    <t>Aportación socios</t>
  </si>
  <si>
    <t>INGRESOS</t>
  </si>
  <si>
    <t>Ingresos</t>
  </si>
  <si>
    <t>INGRESOS TOTALES</t>
  </si>
  <si>
    <t>RESULTADOS 2022</t>
  </si>
  <si>
    <t>Resultado 
TOTAL</t>
  </si>
  <si>
    <t>Beneficio
Neto</t>
  </si>
  <si>
    <t>Impuesto
Sociedades</t>
  </si>
  <si>
    <t>Cobros totales</t>
  </si>
  <si>
    <t>I.V.A REPERCUTIDO</t>
  </si>
  <si>
    <t>TOTAL + I.V.A</t>
  </si>
  <si>
    <t>DIFERENCIA</t>
  </si>
  <si>
    <t>PAGOS TOTALES</t>
  </si>
  <si>
    <t>TOTAL + IVA</t>
  </si>
  <si>
    <t>Balance de situación final</t>
  </si>
  <si>
    <t>Nº cuenta</t>
  </si>
  <si>
    <t>ACTIVO</t>
  </si>
  <si>
    <t>Activo No Corriente</t>
  </si>
  <si>
    <t>Amortización acumulada del inm. Intangible</t>
  </si>
  <si>
    <t>Equipos para procesos de la información</t>
  </si>
  <si>
    <t>Amortización acumulada del inm. Material</t>
  </si>
  <si>
    <t>TOTAL ACTIVO NO CORRIENTE</t>
  </si>
  <si>
    <t xml:space="preserve">Patrimonio Neto </t>
  </si>
  <si>
    <t>Capital social</t>
  </si>
  <si>
    <t>Resultado del ejercicio</t>
  </si>
  <si>
    <t>TOTAL PATRIMONIO NETO</t>
  </si>
  <si>
    <t>Pasivo Corriente</t>
  </si>
  <si>
    <t>Banco</t>
  </si>
  <si>
    <t>I.V.A SOPORTADO</t>
  </si>
  <si>
    <t>I.V.A TRIMESTRAL</t>
  </si>
  <si>
    <t>Diferencia</t>
  </si>
  <si>
    <t>FONDO DE MANIOBRA</t>
  </si>
  <si>
    <t>RATIO DE DISPONIBILIDAD</t>
  </si>
  <si>
    <t>RATIO DE TESORERÍA</t>
  </si>
  <si>
    <t xml:space="preserve">RATIO DE LIQUIDEZ </t>
  </si>
  <si>
    <t>RATIO DE GARANTÍA</t>
  </si>
  <si>
    <t>RATIO DE ENDEUDAMIENTO</t>
  </si>
  <si>
    <t>RATIO DE AUTONOMÍA FINANCIERA</t>
  </si>
  <si>
    <t>RATIO RENTABILIDAD ECONÓMICA</t>
  </si>
  <si>
    <t>RATIO RENTABILIDAD FINANCIERA</t>
  </si>
  <si>
    <t>PAGOS+B3:N7C3B3:B3:N7</t>
  </si>
  <si>
    <t>1º  TRIMESTRE</t>
  </si>
  <si>
    <t>2º TRIMESTRE</t>
  </si>
  <si>
    <t>3º TRIMESTRE</t>
  </si>
  <si>
    <t>4º TRIMESTRE</t>
  </si>
  <si>
    <t>I.V.A SOP</t>
  </si>
  <si>
    <t>I.V.A REP</t>
  </si>
  <si>
    <t>AC - PC</t>
  </si>
  <si>
    <t>TOTAL ACTIVO CORRIENTE</t>
  </si>
  <si>
    <t>TOTAL ACTIVO</t>
  </si>
  <si>
    <t>Activo Corriente</t>
  </si>
  <si>
    <t>PATRIMONIO NETO Y PASIVO</t>
  </si>
  <si>
    <t>D + R</t>
  </si>
  <si>
    <t>Exigible C.P</t>
  </si>
  <si>
    <t>D+R+E</t>
  </si>
  <si>
    <t>Hp Iva</t>
  </si>
  <si>
    <t>TOTAL PASIVO</t>
  </si>
  <si>
    <t>TOTAL PASIVO CORRIENTE</t>
  </si>
  <si>
    <t>[D+R+E]+I</t>
  </si>
  <si>
    <t>PASIVO</t>
  </si>
  <si>
    <t>P.N</t>
  </si>
  <si>
    <t>Bº</t>
  </si>
  <si>
    <t>VENTAS</t>
  </si>
  <si>
    <t>Bº NETO</t>
  </si>
  <si>
    <t xml:space="preserve">Esta es la cantidad de los recursos financieros a largo plazo de los que dispone la empresa para realizar su actividad en el corto plazo. </t>
  </si>
  <si>
    <t>Disponible</t>
  </si>
  <si>
    <t>Éste acredita la garantía que las empresas ofrecen a sus acreedores para hacer frente a sus obligaciones de pago. El resultado tiene que ser el activo &gt; que la unidad y el que hemos obtenido nosotros es de 1 por lo que nuestra empresa se podría situar cerca de la quiebra.</t>
  </si>
  <si>
    <t xml:space="preserve">Este ratio permite conocer i el crecimiento de una compañía está acompañado de una mejora o deterioro del resultado, cuanto más alto sea este valor mejor para la empresa.
El Bº/ ventas refleja el margen (si tienes mayor margen, la competencia lo agradece). Las ventas/activo reflejan la rotación (las empresas tratan de tener mayor margen de rotación, es decir, aumentar las ventas)
Con poco margen de beneficio y mayor rotación (ventas) los actuales competidores y nuevos lo tienen complicado además, esto provoca que tengamos mayor beneficio durante muchos años.
</t>
  </si>
  <si>
    <t>P.Neto</t>
  </si>
  <si>
    <t xml:space="preserve">  X       VENTAS</t>
  </si>
  <si>
    <t>Exigible total</t>
  </si>
  <si>
    <t>GASTOS 2022</t>
  </si>
  <si>
    <t>Nombre                              ENIGMA ROOM, S.L</t>
  </si>
  <si>
    <t>Nombre de la empresa      ENIGMA ROOM, S.L</t>
  </si>
  <si>
    <t>Nombre                             ENIGMA ROOM, S.L</t>
  </si>
  <si>
    <t>Nombre de la empresa     ENIGMA ROOM, S.L</t>
  </si>
  <si>
    <t>Nombre                           ENIGMA ROOM, S.L</t>
  </si>
  <si>
    <t>Nombre de la empresa   ENIGMA ROOM, S.L</t>
  </si>
  <si>
    <t>ENIGMA ROOM, S.L</t>
  </si>
  <si>
    <r>
      <t xml:space="preserve">Nombre                                  </t>
    </r>
    <r>
      <rPr>
        <sz val="9"/>
        <color theme="1" tint="4.9989318521683403E-2"/>
        <rFont val="Calibri"/>
        <family val="2"/>
        <scheme val="minor"/>
      </rPr>
      <t>ENIGMA ROOM, S.L</t>
    </r>
  </si>
  <si>
    <r>
      <t xml:space="preserve">Nombre de la empresa       </t>
    </r>
    <r>
      <rPr>
        <sz val="9"/>
        <color theme="1" tint="4.9989318521683403E-2"/>
        <rFont val="Calibri"/>
        <family val="2"/>
        <scheme val="minor"/>
      </rPr>
      <t>ENIGMA ROOM, S.L</t>
    </r>
  </si>
  <si>
    <t>Nombre de la empresa  ENIGMA ROOM, S.L</t>
  </si>
  <si>
    <t>Baúl</t>
  </si>
  <si>
    <t>Estufa de leña de pie</t>
  </si>
  <si>
    <t xml:space="preserve">Escritorio de madera </t>
  </si>
  <si>
    <t xml:space="preserve">Juguetes de bebé </t>
  </si>
  <si>
    <t>Cuadros</t>
  </si>
  <si>
    <t>Cuna de bebé</t>
  </si>
  <si>
    <t>Jarrón flores</t>
  </si>
  <si>
    <t xml:space="preserve">Proyector </t>
  </si>
  <si>
    <r>
      <rPr>
        <b/>
        <sz val="11"/>
        <color theme="5" tint="-0.24994659260841701"/>
        <rFont val="Calibri Light"/>
        <family val="2"/>
        <scheme val="major"/>
      </rPr>
      <t>Nombre</t>
    </r>
    <r>
      <rPr>
        <sz val="11"/>
        <color theme="5" tint="-0.24994659260841701"/>
        <rFont val="Calibri Light"/>
        <family val="2"/>
        <scheme val="major"/>
      </rPr>
      <t xml:space="preserve">   ENIGMA ROOM, S.L</t>
    </r>
  </si>
  <si>
    <r>
      <rPr>
        <b/>
        <sz val="11"/>
        <color theme="5" tint="-0.24994659260841701"/>
        <rFont val="Calibri Light"/>
        <family val="2"/>
        <scheme val="major"/>
      </rPr>
      <t>Nombre de la empres</t>
    </r>
    <r>
      <rPr>
        <sz val="11"/>
        <color theme="5" tint="-0.24994659260841701"/>
        <rFont val="Calibri Light"/>
        <family val="2"/>
        <scheme val="major"/>
      </rPr>
      <t>a        ENIGMA ROOM, S.L</t>
    </r>
  </si>
  <si>
    <t>Nombre de la empresa       ENIGMA ROOM, S.L</t>
  </si>
  <si>
    <t>Nombre                               ENIGMA ROOM, S.L</t>
  </si>
  <si>
    <t>Alquiler local 260m2</t>
  </si>
  <si>
    <t>Retención 19%</t>
  </si>
  <si>
    <t>Nombre                                    ENIGMA ROOM, S.L</t>
  </si>
  <si>
    <t>Nombre                                 ENIGMA ROOM, S.L</t>
  </si>
  <si>
    <t>Nombre de la empresa    ENIGMA ROOM, S.L</t>
  </si>
  <si>
    <t>Equipo de RV (Realidad Virtual)</t>
  </si>
  <si>
    <t>Mar López Pérez</t>
  </si>
  <si>
    <t>ENIGMA ROOM, S.L.</t>
  </si>
  <si>
    <t>5</t>
  </si>
  <si>
    <t>Oficiales Administrativos</t>
  </si>
  <si>
    <t>7</t>
  </si>
  <si>
    <t>Auxiliares Administrativos</t>
  </si>
  <si>
    <t>aire acondicionado, alarma de seguridad</t>
  </si>
  <si>
    <t xml:space="preserve">Pase General </t>
  </si>
  <si>
    <t>Entrada grupal ( mínimo 4 pesonas)</t>
  </si>
  <si>
    <t>Entrada pareja (2 personas)</t>
  </si>
  <si>
    <t>Entrada especial San valentín (2 personas)</t>
  </si>
  <si>
    <t xml:space="preserve">Entrada especial verano (mín. 4 personas) </t>
  </si>
  <si>
    <t>Caja sorpresa</t>
  </si>
  <si>
    <t>Entrada especial Halloween (2 personas)</t>
  </si>
  <si>
    <t>Entrada especial Halloween (4 personas)</t>
  </si>
  <si>
    <t>Entrada especial San Valentí (min. 4 personas)</t>
  </si>
  <si>
    <t>HP Acreedora por retenciones practicadas</t>
  </si>
  <si>
    <t>SEGUROS SOCIALES</t>
  </si>
  <si>
    <t>CUOTA MENSUAL A PAGAR</t>
  </si>
  <si>
    <t>BASE DE COTIZACIÓN</t>
  </si>
  <si>
    <t>NÚMERO DE SOCIOS ADMINISTRADORES</t>
  </si>
  <si>
    <t>CUOTA A INGRESAR EN LA SEGURIDAD SOCIAL</t>
  </si>
  <si>
    <t>SEGURIDAD SOCIAL (28,30%)</t>
  </si>
  <si>
    <t>HP Acreedora por Impuesto de Sociedades</t>
  </si>
  <si>
    <t>H.Pública Acreedora por IVA</t>
  </si>
  <si>
    <t>Ret. Irpf Alquiler ( modelo 115)</t>
  </si>
  <si>
    <t>HP IRPF (modelo 111)</t>
  </si>
  <si>
    <t>Organismos de la S.S, acreedores</t>
  </si>
  <si>
    <t>I.V.A 10%</t>
  </si>
  <si>
    <t>Base Impoible AL 21%</t>
  </si>
  <si>
    <t>Base Impoible AL 10%</t>
  </si>
  <si>
    <t>Seguros sociales</t>
  </si>
  <si>
    <t>seguridad social trabajdor</t>
  </si>
  <si>
    <t>ordenadores, televisores, impresoras, proyector, etc…</t>
  </si>
  <si>
    <t xml:space="preserve">Mide la capacidad que tiene la empresa a través de su disponible para hacer frente al exigible a corto plazo. Lo normal es que sea 0,1 (10%)  [menor que 0,05-&gt; escasez de disponibilidad] [ entre 0,05 y 0.09= ]  [ &gt;0,10=exceso de disp..]. </t>
  </si>
  <si>
    <t>Permite medir la capacidad de una compañía o institución para pagar las deudas que vencen en el corto plazo. Como  nuestra empresa presenta un ratio superior a 1, significa que puede hacer frente a las deudas inferiores a 1 año (a corto plazo).</t>
  </si>
  <si>
    <t>Éste refleja qué porcentaje de la deuda a corto plazo puede pagarse con los activos a corto plazo de la compañía. En nuestro caso es superior a 1 por lo que nos encontramos en una situación favorable.</t>
  </si>
  <si>
    <t>Éste representa qué parte de los activos de una empresa se financia mediante deuda. En nuestro caso es 0,41.</t>
  </si>
  <si>
    <t>Refleja la relación entre el capital propio y el conjunto de capitales permanentes. Este ratio debe ser igual o superior a 2, en nuestro caso esta regla se cumple por lo que la empresa puede hacer frente de sobra a los pagos a largo plazo.</t>
  </si>
  <si>
    <t xml:space="preserve"> Cuanto más alto sea, mayores serán los beneficios obtenidos por los inversores. En nuestro caso es el 50,71%.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</si>
</sst>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6" formatCode="#,##0\ &quot;€&quot;;[Red]\-#,##0\ &quot;€&quot;"/>
    <numFmt numFmtId="7" formatCode="#,##0.00\ &quot;€&quot;;\-#,##0.00\ &quot;€&quot;"/>
    <numFmt numFmtId="8" formatCode="#,##0.00\ &quot;€&quot;;[Red]\-#,##0.00\ &quot;€&quot;"/>
    <numFmt numFmtId="44" formatCode="_-* #,##0.00\ &quot;€&quot;_-;\-* #,##0.00\ &quot;€&quot;_-;_-* &quot;-&quot;??\ &quot;€&quot;_-;_-@_-"/>
    <numFmt numFmtId="43" formatCode="_-* #,##0.00_-;\-* #,##0.00_-;_-* &quot;-&quot;??_-;_-@_-"/>
    <numFmt numFmtId="164" formatCode="#,##0.00\ &quot;€&quot;"/>
    <numFmt numFmtId="165" formatCode="0\ &quot;unid.&quot;"/>
    <numFmt numFmtId="166" formatCode="[&lt;=9999999]###\-####;\(###\)\ ###\-####"/>
    <numFmt numFmtId="167" formatCode="[$-C0A]d\ &quot;de&quot;\ mmmm\ &quot;de&quot;\ yyyy;@"/>
    <numFmt numFmtId="168" formatCode="[$-C0A]mmm\-yy;@"/>
    <numFmt numFmtId="169" formatCode="_(&quot;$&quot;* #,##0.00_);_(&quot;$&quot;* \(#,##0.00\);_(&quot;$&quot;* &quot;-&quot;??_);_(@_)"/>
    <numFmt numFmtId="170" formatCode="_-* #,##0.00\ [$€-C0A]_-;\-* #,##0.00\ [$€-C0A]_-;_-* &quot;-&quot;??\ [$€-C0A]_-;_-@_-"/>
    <numFmt numFmtId="171" formatCode="[$-409]mmmm\ d\,\ yyyy;@"/>
    <numFmt numFmtId="172" formatCode="0\ &quot;años&quot;"/>
    <numFmt numFmtId="173" formatCode="_-* #,##0.000\ &quot;€&quot;_-;\-* #,##0.000\ &quot;€&quot;_-;_-* &quot;-&quot;??\ &quot;€&quot;_-;_-@_-"/>
    <numFmt numFmtId="174" formatCode="\-#,##0.00\ &quot;€&quot;"/>
    <numFmt numFmtId="175" formatCode="0.0000"/>
  </numFmts>
  <fonts count="167" x14ac:knownFonts="1">
    <font>
      <sz val="11"/>
      <color theme="1"/>
      <name val="Calibri"/>
      <family val="2"/>
      <scheme val="minor"/>
    </font>
    <font>
      <sz val="11"/>
      <color theme="1"/>
      <name val="Calibri"/>
      <family val="2"/>
      <scheme val="minor"/>
    </font>
    <font>
      <sz val="8"/>
      <name val="Calibri"/>
      <family val="2"/>
      <scheme val="minor"/>
    </font>
    <font>
      <sz val="12"/>
      <color rgb="FF202124"/>
      <name val="Arial"/>
      <family val="2"/>
    </font>
    <font>
      <b/>
      <sz val="11"/>
      <color rgb="FFFF0000"/>
      <name val="Calibri"/>
      <family val="2"/>
      <scheme val="minor"/>
    </font>
    <font>
      <b/>
      <sz val="14"/>
      <color rgb="FF202124"/>
      <name val="Arial"/>
      <family val="2"/>
    </font>
    <font>
      <b/>
      <sz val="14"/>
      <color theme="1"/>
      <name val="Georgia"/>
      <family val="1"/>
    </font>
    <font>
      <sz val="12"/>
      <color theme="1"/>
      <name val="Calibri"/>
      <family val="2"/>
      <scheme val="minor"/>
    </font>
    <font>
      <b/>
      <sz val="12"/>
      <color theme="1"/>
      <name val="Georgia"/>
      <family val="1"/>
    </font>
    <font>
      <b/>
      <sz val="14"/>
      <color rgb="FFFF0000"/>
      <name val="Calibri"/>
      <family val="2"/>
      <scheme val="minor"/>
    </font>
    <font>
      <b/>
      <sz val="12"/>
      <color rgb="FFFF0000"/>
      <name val="Calibri"/>
      <family val="2"/>
      <scheme val="minor"/>
    </font>
    <font>
      <sz val="16"/>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10"/>
      <name val="Arial"/>
      <family val="2"/>
    </font>
    <font>
      <sz val="10"/>
      <color theme="1" tint="0.249977111117893"/>
      <name val="Calibri"/>
      <family val="1"/>
      <scheme val="minor"/>
    </font>
    <font>
      <sz val="10"/>
      <color theme="0"/>
      <name val="Calibri"/>
      <family val="1"/>
      <scheme val="minor"/>
    </font>
    <font>
      <b/>
      <sz val="10"/>
      <color theme="1" tint="0.249977111117893"/>
      <name val="Calibri"/>
      <family val="1"/>
      <scheme val="minor"/>
    </font>
    <font>
      <b/>
      <sz val="12"/>
      <color theme="1"/>
      <name val="Calibri"/>
      <family val="2"/>
      <scheme val="minor"/>
    </font>
    <font>
      <sz val="10"/>
      <color theme="1"/>
      <name val="Calibri"/>
      <family val="2"/>
      <scheme val="minor"/>
    </font>
    <font>
      <sz val="11"/>
      <color theme="0"/>
      <name val="Calibri"/>
      <family val="2"/>
    </font>
    <font>
      <sz val="8"/>
      <color theme="1" tint="0.249977111117893"/>
      <name val="Calibri"/>
      <family val="1"/>
      <scheme val="minor"/>
    </font>
    <font>
      <b/>
      <sz val="10"/>
      <color theme="6"/>
      <name val="Calibri"/>
      <family val="1"/>
      <scheme val="minor"/>
    </font>
    <font>
      <sz val="10"/>
      <color theme="1"/>
      <name val="Calibri Light"/>
      <family val="2"/>
      <scheme val="major"/>
    </font>
    <font>
      <b/>
      <sz val="14"/>
      <color theme="1"/>
      <name val="Arial"/>
      <family val="2"/>
    </font>
    <font>
      <b/>
      <sz val="12"/>
      <color theme="1"/>
      <name val="Arial"/>
      <family val="2"/>
    </font>
    <font>
      <sz val="12"/>
      <name val="Calibri"/>
      <family val="2"/>
      <scheme val="minor"/>
    </font>
    <font>
      <b/>
      <sz val="12"/>
      <name val="Calibri"/>
      <family val="2"/>
      <scheme val="minor"/>
    </font>
    <font>
      <sz val="12"/>
      <color theme="1" tint="0.249977111117893"/>
      <name val="Calibri"/>
      <family val="2"/>
      <scheme val="minor"/>
    </font>
    <font>
      <b/>
      <sz val="12"/>
      <color theme="0"/>
      <name val="Calibri"/>
      <family val="2"/>
      <scheme val="minor"/>
    </font>
    <font>
      <sz val="12"/>
      <color theme="0"/>
      <name val="Calibri"/>
      <family val="2"/>
      <scheme val="minor"/>
    </font>
    <font>
      <sz val="9"/>
      <color theme="1" tint="4.9989318521683403E-2"/>
      <name val="Calibri"/>
      <family val="2"/>
      <scheme val="minor"/>
    </font>
    <font>
      <sz val="8"/>
      <color theme="0"/>
      <name val="Calibri"/>
      <family val="1"/>
      <scheme val="minor"/>
    </font>
    <font>
      <b/>
      <sz val="8"/>
      <color theme="1" tint="0.249977111117893"/>
      <name val="Calibri"/>
      <family val="1"/>
      <scheme val="minor"/>
    </font>
    <font>
      <sz val="9"/>
      <color theme="3"/>
      <name val="Calibri"/>
      <family val="2"/>
      <scheme val="minor"/>
    </font>
    <font>
      <sz val="9"/>
      <color theme="6"/>
      <name val="Calibri"/>
      <family val="2"/>
      <scheme val="minor"/>
    </font>
    <font>
      <sz val="10"/>
      <color theme="1" tint="4.9989318521683403E-2"/>
      <name val="Calibri"/>
      <family val="2"/>
      <scheme val="minor"/>
    </font>
    <font>
      <b/>
      <sz val="10"/>
      <color theme="4" tint="-0.499984740745262"/>
      <name val="Calibri"/>
      <family val="2"/>
      <scheme val="minor"/>
    </font>
    <font>
      <sz val="11"/>
      <color theme="1" tint="4.9989318521683403E-2"/>
      <name val="Calibri"/>
      <family val="2"/>
      <scheme val="minor"/>
    </font>
    <font>
      <b/>
      <sz val="12"/>
      <color theme="6"/>
      <name val="Calibri"/>
      <family val="2"/>
      <scheme val="minor"/>
    </font>
    <font>
      <b/>
      <sz val="12"/>
      <color theme="4" tint="-0.499984740745262"/>
      <name val="Calibri"/>
      <family val="2"/>
      <scheme val="minor"/>
    </font>
    <font>
      <b/>
      <sz val="48"/>
      <color theme="6"/>
      <name val="Calibri Light"/>
      <family val="2"/>
      <scheme val="major"/>
    </font>
    <font>
      <b/>
      <sz val="48"/>
      <color theme="4" tint="-0.499984740745262"/>
      <name val="Calibri Light"/>
      <family val="2"/>
      <scheme val="major"/>
    </font>
    <font>
      <sz val="12"/>
      <color theme="0"/>
      <name val="Calibri"/>
      <family val="1"/>
      <scheme val="minor"/>
    </font>
    <font>
      <sz val="9"/>
      <name val="Arial"/>
      <family val="2"/>
    </font>
    <font>
      <sz val="9"/>
      <color theme="1"/>
      <name val="Calibri"/>
      <family val="2"/>
      <scheme val="minor"/>
    </font>
    <font>
      <sz val="12"/>
      <color theme="1" tint="0.24994659260841701"/>
      <name val="Calibri Light"/>
      <family val="2"/>
      <scheme val="major"/>
    </font>
    <font>
      <i/>
      <sz val="11"/>
      <color theme="1" tint="0.24994659260841701"/>
      <name val="Calibri Light"/>
      <family val="2"/>
      <scheme val="major"/>
    </font>
    <font>
      <sz val="16"/>
      <color theme="1" tint="0.14996795556505021"/>
      <name val="Calibri Light"/>
      <family val="2"/>
      <scheme val="major"/>
    </font>
    <font>
      <sz val="36"/>
      <color theme="3" tint="-0.24994659260841701"/>
      <name val="Calibri Light"/>
      <family val="2"/>
      <scheme val="major"/>
    </font>
    <font>
      <sz val="11"/>
      <color theme="5" tint="-0.24994659260841701"/>
      <name val="Calibri"/>
      <family val="2"/>
      <scheme val="minor"/>
    </font>
    <font>
      <i/>
      <sz val="11"/>
      <color theme="5"/>
      <name val="Calibri"/>
      <family val="2"/>
      <scheme val="minor"/>
    </font>
    <font>
      <b/>
      <i/>
      <sz val="11"/>
      <color theme="5"/>
      <name val="Calibri"/>
      <family val="2"/>
      <scheme val="minor"/>
    </font>
    <font>
      <b/>
      <i/>
      <sz val="12.7"/>
      <color theme="5"/>
      <name val="Calibri"/>
      <family val="2"/>
      <scheme val="minor"/>
    </font>
    <font>
      <sz val="11"/>
      <color theme="5"/>
      <name val="Calibri"/>
      <family val="2"/>
      <scheme val="minor"/>
    </font>
    <font>
      <b/>
      <sz val="11"/>
      <color theme="5" tint="-0.24994659260841701"/>
      <name val="Calibri"/>
      <family val="2"/>
      <scheme val="minor"/>
    </font>
    <font>
      <sz val="11"/>
      <color theme="5" tint="-0.24994659260841701"/>
      <name val="Calibri Light"/>
      <family val="2"/>
      <scheme val="major"/>
    </font>
    <font>
      <b/>
      <sz val="11"/>
      <color theme="5" tint="-0.24994659260841701"/>
      <name val="Calibri Light"/>
      <family val="2"/>
      <scheme val="major"/>
    </font>
    <font>
      <sz val="10"/>
      <name val="Calibri"/>
      <family val="2"/>
      <scheme val="minor"/>
    </font>
    <font>
      <b/>
      <sz val="16"/>
      <color theme="5"/>
      <name val="Calibri Light"/>
      <family val="2"/>
      <scheme val="major"/>
    </font>
    <font>
      <sz val="28"/>
      <color theme="5"/>
      <name val="Calibri Light"/>
      <family val="2"/>
      <scheme val="major"/>
    </font>
    <font>
      <b/>
      <sz val="28"/>
      <color theme="5"/>
      <name val="Calibri Light"/>
      <family val="2"/>
      <scheme val="major"/>
    </font>
    <font>
      <sz val="11"/>
      <name val="Calibri"/>
      <family val="2"/>
      <scheme val="minor"/>
    </font>
    <font>
      <b/>
      <i/>
      <sz val="11"/>
      <name val="Calibri"/>
      <family val="2"/>
      <scheme val="minor"/>
    </font>
    <font>
      <b/>
      <i/>
      <sz val="14"/>
      <name val="Calibri"/>
      <family val="2"/>
      <scheme val="minor"/>
    </font>
    <font>
      <b/>
      <sz val="11"/>
      <name val="Calibri"/>
      <family val="2"/>
      <scheme val="minor"/>
    </font>
    <font>
      <b/>
      <sz val="18"/>
      <name val="Calibri"/>
      <family val="2"/>
      <scheme val="minor"/>
    </font>
    <font>
      <b/>
      <i/>
      <sz val="11"/>
      <color theme="1"/>
      <name val="Calibri"/>
      <family val="2"/>
      <scheme val="minor"/>
    </font>
    <font>
      <b/>
      <i/>
      <sz val="16"/>
      <color theme="1"/>
      <name val="Calibri"/>
      <family val="2"/>
      <scheme val="minor"/>
    </font>
    <font>
      <sz val="16"/>
      <name val="Calibri"/>
      <family val="2"/>
      <scheme val="minor"/>
    </font>
    <font>
      <sz val="18"/>
      <name val="Arial"/>
      <family val="2"/>
    </font>
    <font>
      <b/>
      <i/>
      <sz val="11"/>
      <color theme="1" tint="0.34998626667073579"/>
      <name val="Calibri"/>
      <family val="2"/>
      <scheme val="minor"/>
    </font>
    <font>
      <b/>
      <i/>
      <sz val="16"/>
      <color theme="1" tint="0.34998626667073579"/>
      <name val="Calibri"/>
      <family val="2"/>
      <scheme val="minor"/>
    </font>
    <font>
      <sz val="16"/>
      <name val="Arial"/>
      <family val="2"/>
    </font>
    <font>
      <sz val="16"/>
      <color theme="1"/>
      <name val="Calibri"/>
      <family val="2"/>
      <scheme val="minor"/>
    </font>
    <font>
      <b/>
      <sz val="14"/>
      <name val="Times New Roman"/>
      <family val="1"/>
    </font>
    <font>
      <sz val="14"/>
      <name val="Calibri"/>
      <family val="2"/>
      <scheme val="minor"/>
    </font>
    <font>
      <b/>
      <sz val="16"/>
      <name val="Times New Roman"/>
      <family val="1"/>
    </font>
    <font>
      <b/>
      <i/>
      <sz val="14"/>
      <color theme="1" tint="0.34998626667073579"/>
      <name val="Times New Roman"/>
      <family val="1"/>
    </font>
    <font>
      <b/>
      <i/>
      <sz val="16"/>
      <color theme="1" tint="0.34998626667073579"/>
      <name val="Times New Roman"/>
      <family val="1"/>
    </font>
    <font>
      <b/>
      <i/>
      <sz val="14"/>
      <color theme="1" tint="0.34998626667073579"/>
      <name val="Calibri"/>
      <family val="2"/>
      <scheme val="minor"/>
    </font>
    <font>
      <b/>
      <sz val="20"/>
      <color theme="1"/>
      <name val="Calibri"/>
      <family val="2"/>
      <scheme val="minor"/>
    </font>
    <font>
      <sz val="27"/>
      <color theme="1" tint="0.499984740745262"/>
      <name val="Calibri Light"/>
      <family val="2"/>
      <scheme val="major"/>
    </font>
    <font>
      <b/>
      <i/>
      <sz val="12"/>
      <name val="Calibri"/>
      <family val="2"/>
      <scheme val="minor"/>
    </font>
    <font>
      <b/>
      <i/>
      <sz val="12"/>
      <color theme="1"/>
      <name val="Calibri"/>
      <family val="2"/>
      <scheme val="minor"/>
    </font>
    <font>
      <sz val="12"/>
      <name val="Arial"/>
      <family val="2"/>
    </font>
    <font>
      <b/>
      <i/>
      <sz val="12"/>
      <color theme="1" tint="0.34998626667073579"/>
      <name val="Calibri"/>
      <family val="2"/>
      <scheme val="minor"/>
    </font>
    <font>
      <b/>
      <sz val="12"/>
      <name val="Times New Roman"/>
      <family val="1"/>
    </font>
    <font>
      <b/>
      <i/>
      <sz val="12"/>
      <color theme="1" tint="0.34998626667073579"/>
      <name val="Times New Roman"/>
      <family val="1"/>
    </font>
    <font>
      <sz val="12"/>
      <color theme="1" tint="0.499984740745262"/>
      <name val="Calibri Light"/>
      <family val="2"/>
      <scheme val="major"/>
    </font>
    <font>
      <sz val="28"/>
      <color theme="1" tint="0.499984740745262"/>
      <name val="Calibri Light"/>
      <family val="2"/>
      <scheme val="major"/>
    </font>
    <font>
      <b/>
      <sz val="18"/>
      <color theme="1" tint="0.24994659260841701"/>
      <name val="Calibri"/>
      <family val="2"/>
      <scheme val="minor"/>
    </font>
    <font>
      <sz val="28"/>
      <color theme="9" tint="-0.249977111117893"/>
      <name val="Calibri Light"/>
      <family val="2"/>
      <scheme val="major"/>
    </font>
    <font>
      <sz val="11"/>
      <name val="Arial"/>
      <family val="2"/>
    </font>
    <font>
      <i/>
      <sz val="11"/>
      <color theme="1"/>
      <name val="Calibri"/>
      <family val="2"/>
      <scheme val="minor"/>
    </font>
    <font>
      <b/>
      <sz val="18"/>
      <color theme="1" tint="0.14996795556505021"/>
      <name val="Calibri"/>
      <family val="2"/>
      <scheme val="minor"/>
    </font>
    <font>
      <sz val="11"/>
      <name val="Calibri"/>
      <family val="1"/>
      <scheme val="minor"/>
    </font>
    <font>
      <sz val="24"/>
      <color theme="1"/>
      <name val="Calibri Light"/>
      <family val="2"/>
      <scheme val="major"/>
    </font>
    <font>
      <b/>
      <sz val="14"/>
      <name val="Calibri"/>
      <family val="2"/>
      <scheme val="minor"/>
    </font>
    <font>
      <sz val="14"/>
      <color theme="1"/>
      <name val="Calibri"/>
      <family val="2"/>
      <scheme val="minor"/>
    </font>
    <font>
      <b/>
      <sz val="14"/>
      <color theme="0"/>
      <name val="Calibri"/>
      <family val="2"/>
      <scheme val="minor"/>
    </font>
    <font>
      <sz val="14"/>
      <color theme="1"/>
      <name val="Times New Roman"/>
      <family val="1"/>
    </font>
    <font>
      <sz val="11"/>
      <color theme="1"/>
      <name val="Georgia"/>
      <family val="1"/>
    </font>
    <font>
      <sz val="10"/>
      <color theme="1"/>
      <name val="Georgia"/>
      <family val="1"/>
    </font>
    <font>
      <sz val="14"/>
      <color theme="0"/>
      <name val="Times New Roman"/>
      <family val="1"/>
    </font>
    <font>
      <sz val="12"/>
      <color theme="1"/>
      <name val="Times New Roman"/>
      <family val="1"/>
    </font>
    <font>
      <sz val="10"/>
      <color theme="1"/>
      <name val="Times New Roman"/>
      <family val="1"/>
    </font>
    <font>
      <b/>
      <sz val="12"/>
      <color theme="1"/>
      <name val="Times New Roman"/>
      <family val="1"/>
    </font>
    <font>
      <sz val="13"/>
      <color theme="1"/>
      <name val="Times New Roman"/>
      <family val="1"/>
    </font>
    <font>
      <b/>
      <sz val="11"/>
      <color rgb="FF3F3F3F"/>
      <name val="Calibri"/>
      <family val="2"/>
      <scheme val="minor"/>
    </font>
    <font>
      <b/>
      <sz val="12"/>
      <color theme="3" tint="9.9948118533890809E-2"/>
      <name val="Calibri Light"/>
      <family val="2"/>
      <scheme val="major"/>
    </font>
    <font>
      <b/>
      <sz val="12"/>
      <color theme="3" tint="9.9887081514938816E-2"/>
      <name val="Calibri Light"/>
      <family val="2"/>
      <scheme val="major"/>
    </font>
    <font>
      <sz val="24"/>
      <color theme="3" tint="9.9948118533890809E-2"/>
      <name val="Calibri Light"/>
      <family val="2"/>
      <scheme val="major"/>
    </font>
    <font>
      <b/>
      <sz val="11"/>
      <color theme="1" tint="0.14996795556505021"/>
      <name val="Calibri Light"/>
      <family val="2"/>
      <scheme val="major"/>
    </font>
    <font>
      <b/>
      <sz val="14"/>
      <color theme="1"/>
      <name val="Calibri"/>
      <family val="2"/>
      <scheme val="minor"/>
    </font>
    <font>
      <u/>
      <sz val="11"/>
      <name val="Calibri"/>
      <family val="2"/>
      <scheme val="minor"/>
    </font>
    <font>
      <b/>
      <sz val="12"/>
      <color rgb="FF3F3F3F"/>
      <name val="Calibri"/>
      <family val="2"/>
      <scheme val="minor"/>
    </font>
    <font>
      <sz val="11"/>
      <color theme="1" tint="0.34998626667073579"/>
      <name val="Calibri"/>
      <family val="2"/>
      <scheme val="minor"/>
    </font>
    <font>
      <b/>
      <sz val="24"/>
      <color theme="3"/>
      <name val="Calibri"/>
      <family val="2"/>
      <charset val="238"/>
      <scheme val="minor"/>
    </font>
    <font>
      <sz val="24"/>
      <color theme="1"/>
      <name val="Calibri"/>
      <family val="2"/>
      <charset val="238"/>
      <scheme val="minor"/>
    </font>
    <font>
      <b/>
      <sz val="14"/>
      <color theme="1" tint="0.14996795556505021"/>
      <name val="Calibri Light"/>
      <family val="2"/>
      <scheme val="major"/>
    </font>
    <font>
      <sz val="12"/>
      <color theme="1" tint="0.14996795556505021"/>
      <name val="Calibri Light"/>
      <family val="2"/>
      <scheme val="major"/>
    </font>
    <font>
      <b/>
      <sz val="20"/>
      <color theme="1"/>
      <name val="Calibri Light"/>
      <family val="2"/>
      <charset val="238"/>
      <scheme val="major"/>
    </font>
    <font>
      <b/>
      <sz val="14"/>
      <color rgb="FF264923"/>
      <name val="Calibri"/>
      <family val="2"/>
      <scheme val="minor"/>
    </font>
    <font>
      <b/>
      <sz val="14"/>
      <color theme="1"/>
      <name val="Times New Roman"/>
      <family val="1"/>
    </font>
    <font>
      <sz val="8"/>
      <color theme="1"/>
      <name val="Calibri"/>
      <family val="2"/>
      <scheme val="minor"/>
    </font>
    <font>
      <sz val="8"/>
      <name val="Arial"/>
      <family val="2"/>
    </font>
    <font>
      <b/>
      <sz val="10"/>
      <color theme="1"/>
      <name val="Calibri"/>
      <family val="2"/>
      <scheme val="minor"/>
    </font>
    <font>
      <b/>
      <sz val="8"/>
      <color theme="1"/>
      <name val="Calibri"/>
      <family val="2"/>
      <scheme val="minor"/>
    </font>
    <font>
      <b/>
      <sz val="8"/>
      <name val="Arial"/>
      <family val="2"/>
    </font>
    <font>
      <sz val="8"/>
      <name val="Courier New"/>
      <family val="3"/>
    </font>
    <font>
      <i/>
      <sz val="8"/>
      <name val="Arial"/>
      <family val="2"/>
    </font>
    <font>
      <b/>
      <sz val="8"/>
      <name val="Calibri"/>
      <family val="2"/>
      <scheme val="minor"/>
    </font>
    <font>
      <i/>
      <sz val="8"/>
      <name val="Times New Roman"/>
      <family val="1"/>
    </font>
    <font>
      <b/>
      <sz val="8"/>
      <name val="Tahoma"/>
      <family val="2"/>
    </font>
    <font>
      <b/>
      <sz val="8"/>
      <name val="Courier New"/>
      <family val="3"/>
    </font>
    <font>
      <sz val="8"/>
      <name val="Arial Narrow"/>
      <family val="2"/>
    </font>
    <font>
      <b/>
      <u/>
      <sz val="8"/>
      <name val="Tahoma"/>
      <family val="2"/>
    </font>
    <font>
      <b/>
      <u/>
      <sz val="8"/>
      <name val="Arial"/>
      <family val="2"/>
    </font>
    <font>
      <b/>
      <sz val="13"/>
      <color theme="1"/>
      <name val="Times New Roman"/>
      <family val="1"/>
    </font>
    <font>
      <b/>
      <sz val="16"/>
      <color theme="1"/>
      <name val="Times New Roman"/>
      <family val="1"/>
    </font>
    <font>
      <b/>
      <sz val="14"/>
      <color theme="0"/>
      <name val="Times New Roman"/>
      <family val="1"/>
    </font>
    <font>
      <sz val="13"/>
      <color theme="0"/>
      <name val="Times New Roman"/>
      <family val="1"/>
    </font>
    <font>
      <b/>
      <sz val="16"/>
      <color theme="1"/>
      <name val="Calibri"/>
      <family val="2"/>
      <scheme val="minor"/>
    </font>
    <font>
      <b/>
      <sz val="16"/>
      <color theme="0"/>
      <name val="Times New Roman"/>
      <family val="1"/>
    </font>
    <font>
      <sz val="11"/>
      <color theme="1"/>
      <name val="Times New Roman"/>
      <family val="1"/>
    </font>
    <font>
      <b/>
      <sz val="13"/>
      <color theme="0"/>
      <name val="Times New Roman"/>
      <family val="1"/>
    </font>
    <font>
      <b/>
      <sz val="13"/>
      <color theme="0"/>
      <name val="Calibri"/>
      <family val="2"/>
      <scheme val="minor"/>
    </font>
    <font>
      <b/>
      <sz val="11"/>
      <color theme="1"/>
      <name val="Times New Roman"/>
      <family val="1"/>
    </font>
    <font>
      <b/>
      <sz val="12"/>
      <color theme="0"/>
      <name val="Times New Roman"/>
      <family val="1"/>
    </font>
    <font>
      <sz val="12"/>
      <color rgb="FFC00000"/>
      <name val="Georgia"/>
      <family val="1"/>
    </font>
    <font>
      <b/>
      <sz val="12"/>
      <color rgb="FFFF0000"/>
      <name val="Georgia"/>
      <family val="1"/>
    </font>
    <font>
      <b/>
      <sz val="13"/>
      <color theme="1"/>
      <name val="Georgia"/>
      <family val="1"/>
    </font>
    <font>
      <b/>
      <sz val="12"/>
      <color theme="4" tint="-0.499984740745262"/>
      <name val="Times New Roman"/>
      <family val="1"/>
    </font>
    <font>
      <b/>
      <sz val="11"/>
      <color theme="4" tint="-0.499984740745262"/>
      <name val="Times New Roman"/>
      <family val="1"/>
    </font>
    <font>
      <sz val="11"/>
      <color theme="4" tint="-0.499984740745262"/>
      <name val="Georgia"/>
      <family val="1"/>
    </font>
    <font>
      <sz val="11"/>
      <color theme="4" tint="-0.499984740745262"/>
      <name val="Calibri"/>
      <family val="2"/>
      <scheme val="minor"/>
    </font>
    <font>
      <sz val="12"/>
      <color theme="0"/>
      <name val="Times New Roman"/>
      <family val="1"/>
    </font>
    <font>
      <b/>
      <sz val="20"/>
      <color theme="0"/>
      <name val="Calibri"/>
      <family val="2"/>
      <scheme val="minor"/>
    </font>
    <font>
      <sz val="12"/>
      <color rgb="FFFF0000"/>
      <name val="Calibri"/>
      <family val="2"/>
      <scheme val="minor"/>
    </font>
    <font>
      <sz val="11"/>
      <color theme="1"/>
      <name val="Arial"/>
      <family val="2"/>
    </font>
    <font>
      <b/>
      <sz val="12"/>
      <color theme="0"/>
      <name val="Arial"/>
      <family val="2"/>
    </font>
    <font>
      <sz val="12"/>
      <color theme="1"/>
      <name val="Arial"/>
      <family val="2"/>
    </font>
    <font>
      <b/>
      <sz val="14"/>
      <color theme="0"/>
      <name val="Arial"/>
      <family val="2"/>
    </font>
    <font>
      <sz val="12"/>
      <color rgb="FFFF0000"/>
      <name val="Arial"/>
      <family val="2"/>
    </font>
    <font>
      <sz val="11"/>
      <color theme="0"/>
      <name val="Arial Black"/>
      <family val="2"/>
    </font>
  </fonts>
  <fills count="90">
    <fill>
      <patternFill patternType="none"/>
    </fill>
    <fill>
      <patternFill patternType="gray125"/>
    </fill>
    <fill>
      <patternFill patternType="solid">
        <fgColor rgb="FFB4DEC2"/>
        <bgColor indexed="64"/>
      </patternFill>
    </fill>
    <fill>
      <patternFill patternType="solid">
        <fgColor rgb="FFD3DAB0"/>
        <bgColor indexed="64"/>
      </patternFill>
    </fill>
    <fill>
      <patternFill patternType="solid">
        <fgColor rgb="FFABCCCD"/>
        <bgColor indexed="64"/>
      </patternFill>
    </fill>
    <fill>
      <patternFill patternType="solid">
        <fgColor rgb="FFEEDFDE"/>
        <bgColor indexed="64"/>
      </patternFill>
    </fill>
    <fill>
      <patternFill patternType="solid">
        <fgColor rgb="FFE8E8E8"/>
        <bgColor indexed="64"/>
      </patternFill>
    </fill>
    <fill>
      <patternFill patternType="solid">
        <fgColor rgb="FFC9C8D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indexed="9"/>
        <bgColor indexed="64"/>
      </patternFill>
    </fill>
    <fill>
      <patternFill patternType="solid">
        <fgColor theme="0"/>
        <bgColor indexed="64"/>
      </patternFill>
    </fill>
    <fill>
      <patternFill patternType="solid">
        <fgColor rgb="FFDFE3ED"/>
        <bgColor indexed="64"/>
      </patternFill>
    </fill>
    <fill>
      <patternFill patternType="solid">
        <fgColor rgb="FFBED0D4"/>
        <bgColor indexed="64"/>
      </patternFill>
    </fill>
    <fill>
      <patternFill patternType="solid">
        <fgColor theme="6" tint="0.79998168889431442"/>
        <bgColor indexed="64"/>
      </patternFill>
    </fill>
    <fill>
      <patternFill patternType="solid">
        <fgColor rgb="FFDCECF0"/>
        <bgColor indexed="64"/>
      </patternFill>
    </fill>
    <fill>
      <patternFill patternType="solid">
        <fgColor rgb="FFDAE7EA"/>
        <bgColor indexed="64"/>
      </patternFill>
    </fill>
    <fill>
      <patternFill patternType="solid">
        <fgColor rgb="FF5C98A4"/>
        <bgColor indexed="64"/>
      </patternFill>
    </fill>
    <fill>
      <patternFill patternType="solid">
        <fgColor rgb="FFADC6C7"/>
        <bgColor indexed="64"/>
      </patternFill>
    </fill>
    <fill>
      <patternFill patternType="solid">
        <fgColor rgb="FF477E85"/>
        <bgColor indexed="64"/>
      </patternFill>
    </fill>
    <fill>
      <patternFill patternType="solid">
        <fgColor theme="6" tint="0.59996337778862885"/>
        <bgColor indexed="64"/>
      </patternFill>
    </fill>
    <fill>
      <patternFill patternType="solid">
        <fgColor rgb="FF83D787"/>
        <bgColor indexed="64"/>
      </patternFill>
    </fill>
    <fill>
      <patternFill patternType="solid">
        <fgColor rgb="FFBADDA7"/>
        <bgColor indexed="64"/>
      </patternFill>
    </fill>
    <fill>
      <patternFill patternType="solid">
        <fgColor rgb="FF85D197"/>
        <bgColor indexed="64"/>
      </patternFill>
    </fill>
    <fill>
      <patternFill patternType="solid">
        <fgColor rgb="FF70B881"/>
        <bgColor indexed="64"/>
      </patternFill>
    </fill>
    <fill>
      <patternFill patternType="solid">
        <fgColor rgb="FFE36F6F"/>
        <bgColor indexed="64"/>
      </patternFill>
    </fill>
    <fill>
      <patternFill patternType="solid">
        <fgColor theme="8" tint="0.79998168889431442"/>
        <bgColor indexed="64"/>
      </patternFill>
    </fill>
    <fill>
      <patternFill patternType="solid">
        <fgColor theme="8" tint="-0.24994659260841701"/>
        <bgColor theme="8"/>
      </patternFill>
    </fill>
    <fill>
      <patternFill patternType="solid">
        <fgColor rgb="FF71B79C"/>
        <bgColor indexed="64"/>
      </patternFill>
    </fill>
    <fill>
      <patternFill patternType="solid">
        <fgColor rgb="FFC5E1D6"/>
        <bgColor indexed="64"/>
      </patternFill>
    </fill>
    <fill>
      <patternFill patternType="solid">
        <fgColor rgb="FF3E7A63"/>
        <bgColor indexed="64"/>
      </patternFill>
    </fill>
    <fill>
      <patternFill patternType="solid">
        <fgColor rgb="FFE9F3EF"/>
        <bgColor indexed="64"/>
      </patternFill>
    </fill>
    <fill>
      <patternFill patternType="solid">
        <fgColor rgb="FFBBE3C2"/>
        <bgColor indexed="64"/>
      </patternFill>
    </fill>
    <fill>
      <patternFill patternType="solid">
        <fgColor rgb="FFEEF6EE"/>
        <bgColor indexed="64"/>
      </patternFill>
    </fill>
    <fill>
      <patternFill patternType="solid">
        <fgColor rgb="FFC7D2B8"/>
        <bgColor indexed="64"/>
      </patternFill>
    </fill>
    <fill>
      <patternFill patternType="solid">
        <fgColor rgb="FFE4EBDD"/>
        <bgColor indexed="64"/>
      </patternFill>
    </fill>
    <fill>
      <patternFill patternType="solid">
        <fgColor rgb="FFEBECCA"/>
        <bgColor indexed="64"/>
      </patternFill>
    </fill>
    <fill>
      <patternFill patternType="solid">
        <fgColor rgb="FFD4D19C"/>
        <bgColor indexed="64"/>
      </patternFill>
    </fill>
    <fill>
      <patternFill patternType="solid">
        <fgColor rgb="FFFDFCDE"/>
        <bgColor indexed="64"/>
      </patternFill>
    </fill>
    <fill>
      <patternFill patternType="solid">
        <fgColor rgb="FFF6F7F8"/>
        <bgColor indexed="64"/>
      </patternFill>
    </fill>
    <fill>
      <patternFill patternType="solid">
        <fgColor rgb="FFF9F1EB"/>
        <bgColor indexed="64"/>
      </patternFill>
    </fill>
    <fill>
      <patternFill patternType="solid">
        <fgColor theme="0" tint="-0.14996795556505021"/>
        <bgColor indexed="64"/>
      </patternFill>
    </fill>
    <fill>
      <patternFill patternType="solid">
        <fgColor theme="0" tint="-0.14999847407452621"/>
        <bgColor theme="0" tint="-0.14999847407452621"/>
      </patternFill>
    </fill>
    <fill>
      <patternFill patternType="solid">
        <fgColor theme="0" tint="-0.14996795556505021"/>
        <bgColor theme="0" tint="-0.14999847407452621"/>
      </patternFill>
    </fill>
    <fill>
      <patternFill patternType="solid">
        <fgColor rgb="FFF2D2A8"/>
        <bgColor indexed="64"/>
      </patternFill>
    </fill>
    <fill>
      <patternFill patternType="solid">
        <fgColor rgb="FFD0D193"/>
        <bgColor indexed="64"/>
      </patternFill>
    </fill>
    <fill>
      <patternFill patternType="solid">
        <fgColor rgb="FFDBE4BA"/>
        <bgColor indexed="64"/>
      </patternFill>
    </fill>
    <fill>
      <patternFill patternType="solid">
        <fgColor theme="0" tint="-0.14999847407452621"/>
        <bgColor indexed="64"/>
      </patternFill>
    </fill>
    <fill>
      <patternFill patternType="solid">
        <fgColor rgb="FFF4F3E4"/>
        <bgColor indexed="64"/>
      </patternFill>
    </fill>
    <fill>
      <patternFill patternType="solid">
        <fgColor rgb="FFEEEDD7"/>
        <bgColor indexed="64"/>
      </patternFill>
    </fill>
    <fill>
      <patternFill patternType="solid">
        <fgColor rgb="FFFBF7F7"/>
        <bgColor indexed="64"/>
      </patternFill>
    </fill>
    <fill>
      <patternFill patternType="solid">
        <fgColor rgb="FFE5ECDC"/>
        <bgColor indexed="64"/>
      </patternFill>
    </fill>
    <fill>
      <patternFill patternType="solid">
        <fgColor rgb="FFD7E9E3"/>
        <bgColor indexed="64"/>
      </patternFill>
    </fill>
    <fill>
      <patternFill patternType="solid">
        <fgColor rgb="FFE4E8F0"/>
        <bgColor indexed="64"/>
      </patternFill>
    </fill>
    <fill>
      <patternFill patternType="solid">
        <fgColor rgb="FFB9C7CB"/>
        <bgColor indexed="64"/>
      </patternFill>
    </fill>
    <fill>
      <patternFill patternType="solid">
        <fgColor rgb="FFF4F0F2"/>
        <bgColor indexed="64"/>
      </patternFill>
    </fill>
    <fill>
      <patternFill patternType="solid">
        <fgColor rgb="FFE8DCDC"/>
        <bgColor indexed="64"/>
      </patternFill>
    </fill>
    <fill>
      <patternFill patternType="solid">
        <fgColor rgb="FFF9FACA"/>
        <bgColor indexed="64"/>
      </patternFill>
    </fill>
    <fill>
      <patternFill patternType="solid">
        <fgColor rgb="FFC3C6D7"/>
        <bgColor indexed="64"/>
      </patternFill>
    </fill>
    <fill>
      <patternFill patternType="solid">
        <fgColor rgb="FFCDB8AF"/>
        <bgColor indexed="64"/>
      </patternFill>
    </fill>
    <fill>
      <patternFill patternType="solid">
        <fgColor rgb="FFE7EDEC"/>
        <bgColor indexed="64"/>
      </patternFill>
    </fill>
    <fill>
      <patternFill patternType="solid">
        <fgColor rgb="FFDBD3D3"/>
        <bgColor indexed="64"/>
      </patternFill>
    </fill>
    <fill>
      <patternFill patternType="solid">
        <fgColor rgb="FF8DADC1"/>
        <bgColor indexed="64"/>
      </patternFill>
    </fill>
    <fill>
      <patternFill patternType="solid">
        <fgColor rgb="FF97B7AF"/>
        <bgColor indexed="64"/>
      </patternFill>
    </fill>
    <fill>
      <patternFill patternType="solid">
        <fgColor rgb="FF7AAE93"/>
        <bgColor indexed="64"/>
      </patternFill>
    </fill>
    <fill>
      <patternFill patternType="solid">
        <fgColor rgb="FFB9CDD9"/>
        <bgColor indexed="64"/>
      </patternFill>
    </fill>
    <fill>
      <patternFill patternType="solid">
        <fgColor rgb="FFDDEBE6"/>
        <bgColor indexed="64"/>
      </patternFill>
    </fill>
    <fill>
      <patternFill patternType="solid">
        <fgColor rgb="FFC6D6E0"/>
        <bgColor indexed="64"/>
      </patternFill>
    </fill>
    <fill>
      <patternFill patternType="solid">
        <fgColor rgb="FFEBE5E9"/>
        <bgColor indexed="64"/>
      </patternFill>
    </fill>
    <fill>
      <patternFill patternType="solid">
        <fgColor rgb="FFADC5D3"/>
        <bgColor indexed="64"/>
      </patternFill>
    </fill>
    <fill>
      <patternFill patternType="solid">
        <fgColor rgb="FFBBD3CF"/>
        <bgColor indexed="64"/>
      </patternFill>
    </fill>
    <fill>
      <patternFill patternType="solid">
        <fgColor rgb="FF93B397"/>
        <bgColor indexed="64"/>
      </patternFill>
    </fill>
    <fill>
      <patternFill patternType="solid">
        <fgColor rgb="FFD3DFE3"/>
        <bgColor indexed="64"/>
      </patternFill>
    </fill>
    <fill>
      <patternFill patternType="solid">
        <fgColor rgb="FF6EA2A1"/>
        <bgColor indexed="64"/>
      </patternFill>
    </fill>
    <fill>
      <patternFill patternType="solid">
        <fgColor rgb="FFC6E0D2"/>
        <bgColor indexed="64"/>
      </patternFill>
    </fill>
    <fill>
      <patternFill patternType="solid">
        <fgColor rgb="FF91CFA1"/>
        <bgColor indexed="64"/>
      </patternFill>
    </fill>
    <fill>
      <patternFill patternType="solid">
        <fgColor rgb="FFDDC595"/>
        <bgColor indexed="64"/>
      </patternFill>
    </fill>
    <fill>
      <patternFill patternType="solid">
        <fgColor rgb="FF8699B4"/>
        <bgColor indexed="64"/>
      </patternFill>
    </fill>
    <fill>
      <patternFill patternType="solid">
        <fgColor rgb="FFF8F6F2"/>
        <bgColor indexed="64"/>
      </patternFill>
    </fill>
    <fill>
      <patternFill patternType="solid">
        <fgColor rgb="FF837F95"/>
        <bgColor indexed="64"/>
      </patternFill>
    </fill>
    <fill>
      <patternFill patternType="solid">
        <fgColor rgb="FFE14D4D"/>
        <bgColor indexed="64"/>
      </patternFill>
    </fill>
    <fill>
      <patternFill patternType="solid">
        <fgColor rgb="FFFDF1F1"/>
        <bgColor indexed="64"/>
      </patternFill>
    </fill>
    <fill>
      <patternFill patternType="solid">
        <fgColor rgb="FFF3F7F6"/>
        <bgColor indexed="64"/>
      </patternFill>
    </fill>
    <fill>
      <patternFill patternType="solid">
        <fgColor rgb="FFE8F4E8"/>
        <bgColor indexed="64"/>
      </patternFill>
    </fill>
    <fill>
      <patternFill patternType="solid">
        <fgColor rgb="FFDEACAC"/>
        <bgColor indexed="64"/>
      </patternFill>
    </fill>
    <fill>
      <patternFill patternType="solid">
        <fgColor rgb="FFF5E7E7"/>
        <bgColor indexed="64"/>
      </patternFill>
    </fill>
    <fill>
      <patternFill patternType="solid">
        <fgColor rgb="FFABCDBF"/>
        <bgColor indexed="64"/>
      </patternFill>
    </fill>
    <fill>
      <patternFill patternType="solid">
        <fgColor rgb="FF658EA3"/>
        <bgColor indexed="64"/>
      </patternFill>
    </fill>
    <fill>
      <patternFill patternType="solid">
        <fgColor rgb="FFFBFBFB"/>
        <bgColor indexed="64"/>
      </patternFill>
    </fill>
    <fill>
      <patternFill patternType="solid">
        <fgColor rgb="FF9AB5C2"/>
        <bgColor indexed="64"/>
      </patternFill>
    </fill>
  </fills>
  <borders count="90">
    <border>
      <left/>
      <right/>
      <top/>
      <bottom/>
      <diagonal/>
    </border>
    <border>
      <left style="thin">
        <color rgb="FF3A5044"/>
      </left>
      <right style="thin">
        <color rgb="FF3A5044"/>
      </right>
      <top style="thin">
        <color rgb="FF3A5044"/>
      </top>
      <bottom style="thin">
        <color rgb="FF3A5044"/>
      </bottom>
      <diagonal/>
    </border>
    <border>
      <left style="thin">
        <color rgb="FF3A5044"/>
      </left>
      <right style="thin">
        <color rgb="FF3A5044"/>
      </right>
      <top style="thin">
        <color rgb="FF3A5044"/>
      </top>
      <bottom/>
      <diagonal/>
    </border>
    <border>
      <left style="thin">
        <color rgb="FF3A5044"/>
      </left>
      <right style="thin">
        <color rgb="FF3A5044"/>
      </right>
      <top/>
      <bottom/>
      <diagonal/>
    </border>
    <border>
      <left style="thin">
        <color rgb="FF3A5044"/>
      </left>
      <right style="thin">
        <color rgb="FF3A5044"/>
      </right>
      <top/>
      <bottom style="thin">
        <color rgb="FF3A5044"/>
      </bottom>
      <diagonal/>
    </border>
    <border>
      <left/>
      <right/>
      <top style="thin">
        <color rgb="FF3A5044"/>
      </top>
      <bottom style="medium">
        <color rgb="FF3A5044"/>
      </bottom>
      <diagonal/>
    </border>
    <border>
      <left style="thin">
        <color rgb="FF3A5044"/>
      </left>
      <right style="thin">
        <color rgb="FF3A5044"/>
      </right>
      <top style="thin">
        <color rgb="FF3A5044"/>
      </top>
      <bottom style="double">
        <color rgb="FF3A5044"/>
      </bottom>
      <diagonal/>
    </border>
    <border>
      <left/>
      <right style="medium">
        <color auto="1"/>
      </right>
      <top/>
      <bottom style="medium">
        <color auto="1"/>
      </bottom>
      <diagonal/>
    </border>
    <border>
      <left style="thin">
        <color theme="0"/>
      </left>
      <right style="medium">
        <color theme="0"/>
      </right>
      <top style="medium">
        <color theme="0"/>
      </top>
      <bottom/>
      <diagonal/>
    </border>
    <border>
      <left style="thin">
        <color theme="0"/>
      </left>
      <right/>
      <top style="thin">
        <color theme="0"/>
      </top>
      <bottom/>
      <diagonal/>
    </border>
    <border>
      <left style="thin">
        <color theme="0"/>
      </left>
      <right/>
      <top style="thick">
        <color theme="0"/>
      </top>
      <bottom/>
      <diagonal/>
    </border>
    <border>
      <left/>
      <right/>
      <top style="thick">
        <color theme="0"/>
      </top>
      <bottom/>
      <diagonal/>
    </border>
    <border>
      <left/>
      <right/>
      <top style="thin">
        <color theme="0"/>
      </top>
      <bottom/>
      <diagonal/>
    </border>
    <border>
      <left/>
      <right/>
      <top/>
      <bottom style="medium">
        <color theme="4" tint="-0.499984740745262"/>
      </bottom>
      <diagonal/>
    </border>
    <border>
      <left/>
      <right/>
      <top style="medium">
        <color theme="4" tint="-0.499984740745262"/>
      </top>
      <bottom/>
      <diagonal/>
    </border>
    <border>
      <left style="double">
        <color theme="8" tint="-0.24994659260841701"/>
      </left>
      <right style="double">
        <color theme="8" tint="-0.24994659260841701"/>
      </right>
      <top style="double">
        <color theme="8" tint="-0.24994659260841701"/>
      </top>
      <bottom style="double">
        <color theme="8" tint="-0.24994659260841701"/>
      </bottom>
      <diagonal/>
    </border>
    <border>
      <left style="thin">
        <color rgb="FF578AAD"/>
      </left>
      <right style="thin">
        <color rgb="FF578AAD"/>
      </right>
      <top style="thin">
        <color rgb="FF578AAD"/>
      </top>
      <bottom style="thin">
        <color rgb="FF578AAD"/>
      </bottom>
      <diagonal/>
    </border>
    <border>
      <left/>
      <right style="thin">
        <color theme="0"/>
      </right>
      <top style="thin">
        <color theme="0"/>
      </top>
      <bottom/>
      <diagonal/>
    </border>
    <border>
      <left style="thin">
        <color theme="5" tint="-0.499984740745262"/>
      </left>
      <right/>
      <top style="thin">
        <color theme="5" tint="-0.499984740745262"/>
      </top>
      <bottom/>
      <diagonal/>
    </border>
    <border>
      <left/>
      <right style="thin">
        <color theme="5" tint="-0.499984740745262"/>
      </right>
      <top style="thin">
        <color theme="5" tint="-0.499984740745262"/>
      </top>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theme="0"/>
      </left>
      <right/>
      <top style="thin">
        <color theme="0"/>
      </top>
      <bottom style="thin">
        <color theme="0"/>
      </bottom>
      <diagonal/>
    </border>
    <border>
      <left style="thin">
        <color theme="5" tint="-0.499984740745262"/>
      </left>
      <right/>
      <top style="thin">
        <color theme="5" tint="-0.499984740745262"/>
      </top>
      <bottom style="thin">
        <color theme="5" tint="-0.499984740745262"/>
      </bottom>
      <diagonal/>
    </border>
    <border>
      <left/>
      <right style="thin">
        <color theme="5" tint="-0.499984740745262"/>
      </right>
      <top style="thin">
        <color theme="5" tint="-0.499984740745262"/>
      </top>
      <bottom style="thin">
        <color theme="5" tint="-0.499984740745262"/>
      </bottom>
      <diagonal/>
    </border>
    <border>
      <left style="thin">
        <color theme="5" tint="-0.499984740745262"/>
      </left>
      <right/>
      <top/>
      <bottom style="thin">
        <color theme="5" tint="-0.499984740745262"/>
      </bottom>
      <diagonal/>
    </border>
    <border>
      <left/>
      <right style="thin">
        <color theme="5" tint="-0.499984740745262"/>
      </right>
      <top/>
      <bottom style="thin">
        <color theme="5" tint="-0.499984740745262"/>
      </bottom>
      <diagonal/>
    </border>
    <border>
      <left/>
      <right/>
      <top style="thin">
        <color theme="5"/>
      </top>
      <bottom style="thin">
        <color theme="5"/>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auto="1"/>
      </left>
      <right style="thin">
        <color auto="1"/>
      </right>
      <top style="thin">
        <color auto="1"/>
      </top>
      <bottom style="thin">
        <color auto="1"/>
      </bottom>
      <diagonal/>
    </border>
    <border>
      <left style="thin">
        <color theme="8" tint="-0.24994659260841701"/>
      </left>
      <right/>
      <top style="thin">
        <color theme="8" tint="-0.24994659260841701"/>
      </top>
      <bottom style="thin">
        <color theme="8" tint="-0.24994659260841701"/>
      </bottom>
      <diagonal/>
    </border>
    <border>
      <left/>
      <right/>
      <top/>
      <bottom style="thin">
        <color theme="8" tint="-0.24994659260841701"/>
      </bottom>
      <diagonal/>
    </border>
    <border>
      <left/>
      <right style="thin">
        <color theme="1"/>
      </right>
      <top style="thin">
        <color theme="1"/>
      </top>
      <bottom/>
      <diagonal/>
    </border>
    <border>
      <left style="thin">
        <color theme="0"/>
      </left>
      <right/>
      <top/>
      <bottom style="thin">
        <color theme="0"/>
      </bottom>
      <diagonal/>
    </border>
    <border>
      <left style="thin">
        <color theme="8" tint="0.59996337778862885"/>
      </left>
      <right style="thin">
        <color theme="8" tint="0.59996337778862885"/>
      </right>
      <top style="double">
        <color theme="8" tint="0.59996337778862885"/>
      </top>
      <bottom style="thin">
        <color theme="8" tint="0.59996337778862885"/>
      </bottom>
      <diagonal/>
    </border>
    <border>
      <left style="thin">
        <color theme="8" tint="0.59996337778862885"/>
      </left>
      <right/>
      <top style="thin">
        <color theme="8" tint="0.59996337778862885"/>
      </top>
      <bottom/>
      <diagonal/>
    </border>
    <border>
      <left style="thin">
        <color theme="8" tint="0.59996337778862885"/>
      </left>
      <right style="thin">
        <color theme="8" tint="0.59996337778862885"/>
      </right>
      <top style="thin">
        <color theme="8" tint="0.59996337778862885"/>
      </top>
      <bottom/>
      <diagonal/>
    </border>
    <border>
      <left style="thin">
        <color theme="8" tint="0.39994506668294322"/>
      </left>
      <right/>
      <top style="thin">
        <color theme="8" tint="0.59996337778862885"/>
      </top>
      <bottom/>
      <diagonal/>
    </border>
    <border>
      <left style="thin">
        <color theme="8" tint="0.39994506668294322"/>
      </left>
      <right style="thin">
        <color theme="8" tint="0.39994506668294322"/>
      </right>
      <top style="thin">
        <color theme="8" tint="0.59996337778862885"/>
      </top>
      <bottom/>
      <diagonal/>
    </border>
    <border>
      <left style="thin">
        <color theme="8" tint="0.59996337778862885"/>
      </left>
      <right/>
      <top style="double">
        <color theme="8" tint="0.59996337778862885"/>
      </top>
      <bottom style="thin">
        <color theme="8" tint="0.59996337778862885"/>
      </bottom>
      <diagonal/>
    </border>
    <border>
      <left style="thin">
        <color theme="8" tint="0.39994506668294322"/>
      </left>
      <right style="thin">
        <color theme="8" tint="0.39994506668294322"/>
      </right>
      <top style="thin">
        <color theme="8" tint="0.59996337778862885"/>
      </top>
      <bottom style="thin">
        <color indexed="64"/>
      </bottom>
      <diagonal/>
    </border>
    <border>
      <left style="thin">
        <color theme="8" tint="0.39994506668294322"/>
      </left>
      <right/>
      <top style="thin">
        <color theme="8" tint="0.59996337778862885"/>
      </top>
      <bottom style="thin">
        <color indexed="64"/>
      </bottom>
      <diagonal/>
    </border>
    <border>
      <left/>
      <right/>
      <top style="double">
        <color theme="3" tint="0.39994506668294322"/>
      </top>
      <bottom/>
      <diagonal/>
    </border>
    <border>
      <left/>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bottom style="hair">
        <color auto="1"/>
      </bottom>
      <diagonal/>
    </border>
    <border>
      <left/>
      <right/>
      <top style="hair">
        <color auto="1"/>
      </top>
      <bottom style="hair">
        <color auto="1"/>
      </bottom>
      <diagonal/>
    </border>
    <border>
      <left/>
      <right/>
      <top style="hair">
        <color auto="1"/>
      </top>
      <bottom/>
      <diagonal/>
    </border>
    <border>
      <left/>
      <right/>
      <top/>
      <bottom style="thick">
        <color theme="4"/>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style="thin">
        <color theme="1"/>
      </left>
      <right style="thin">
        <color theme="1"/>
      </right>
      <top style="thin">
        <color theme="1"/>
      </top>
      <bottom/>
      <diagonal/>
    </border>
    <border>
      <left style="thin">
        <color rgb="FF3F3F3F"/>
      </left>
      <right style="thin">
        <color rgb="FF3F3F3F"/>
      </right>
      <top/>
      <bottom/>
      <diagonal/>
    </border>
    <border>
      <left style="thin">
        <color theme="1"/>
      </left>
      <right/>
      <top style="thin">
        <color theme="1"/>
      </top>
      <bottom style="thin">
        <color theme="1"/>
      </bottom>
      <diagonal/>
    </border>
    <border>
      <left style="thin">
        <color theme="8"/>
      </left>
      <right style="thin">
        <color theme="8"/>
      </right>
      <top style="thin">
        <color theme="8"/>
      </top>
      <bottom style="thin">
        <color theme="8"/>
      </bottom>
      <diagonal/>
    </border>
    <border>
      <left style="thin">
        <color theme="8"/>
      </left>
      <right style="thin">
        <color theme="8"/>
      </right>
      <top style="thin">
        <color theme="8"/>
      </top>
      <bottom/>
      <diagonal/>
    </border>
    <border>
      <left style="thin">
        <color rgb="FF3F3F3F"/>
      </left>
      <right style="thin">
        <color rgb="FF3F3F3F"/>
      </right>
      <top style="thin">
        <color rgb="FF3F3F3F"/>
      </top>
      <bottom style="thin">
        <color rgb="FF3F3F3F"/>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dotted">
        <color theme="1" tint="0.499984740745262"/>
      </top>
      <bottom/>
      <diagonal/>
    </border>
    <border>
      <left/>
      <right/>
      <top/>
      <bottom style="dotted">
        <color theme="4" tint="-0.499984740745262"/>
      </bottom>
      <diagonal/>
    </border>
    <border>
      <left/>
      <right/>
      <top style="thin">
        <color theme="1"/>
      </top>
      <bottom style="thin">
        <color theme="1"/>
      </bottom>
      <diagonal/>
    </border>
    <border>
      <left/>
      <right/>
      <top/>
      <bottom style="thin">
        <color theme="1"/>
      </bottom>
      <diagonal/>
    </border>
    <border>
      <left/>
      <right/>
      <top style="thin">
        <color auto="1"/>
      </top>
      <bottom style="thin">
        <color auto="1"/>
      </bottom>
      <diagonal/>
    </border>
    <border>
      <left/>
      <right/>
      <top/>
      <bottom style="double">
        <color auto="1"/>
      </bottom>
      <diagonal/>
    </border>
    <border>
      <left style="thin">
        <color auto="1"/>
      </left>
      <right style="thin">
        <color auto="1"/>
      </right>
      <top/>
      <bottom style="dashDotDot">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right/>
      <top/>
      <bottom style="medium">
        <color indexed="64"/>
      </bottom>
      <diagonal/>
    </border>
    <border>
      <left style="thin">
        <color indexed="64"/>
      </left>
      <right/>
      <top style="thin">
        <color indexed="64"/>
      </top>
      <bottom/>
      <diagonal/>
    </border>
    <border>
      <left/>
      <right/>
      <top style="dotted">
        <color auto="1"/>
      </top>
      <bottom style="dotted">
        <color auto="1"/>
      </bottom>
      <diagonal/>
    </border>
    <border>
      <left style="thin">
        <color auto="1"/>
      </left>
      <right style="thin">
        <color auto="1"/>
      </right>
      <top style="thin">
        <color auto="1"/>
      </top>
      <bottom/>
      <diagonal/>
    </border>
    <border>
      <left/>
      <right/>
      <top/>
      <bottom style="dotted">
        <color auto="1"/>
      </bottom>
      <diagonal/>
    </border>
    <border>
      <left/>
      <right/>
      <top style="dashed">
        <color auto="1"/>
      </top>
      <bottom style="dashed">
        <color auto="1"/>
      </bottom>
      <diagonal/>
    </border>
    <border>
      <left/>
      <right/>
      <top/>
      <bottom style="dashed">
        <color auto="1"/>
      </bottom>
      <diagonal/>
    </border>
    <border>
      <left/>
      <right/>
      <top/>
      <bottom style="dashDot">
        <color auto="1"/>
      </bottom>
      <diagonal/>
    </border>
    <border>
      <left style="thin">
        <color auto="1"/>
      </left>
      <right style="thin">
        <color auto="1"/>
      </right>
      <top/>
      <bottom style="medium">
        <color auto="1"/>
      </bottom>
      <diagonal/>
    </border>
  </borders>
  <cellStyleXfs count="102">
    <xf numFmtId="0" fontId="0" fillId="0" borderId="0"/>
    <xf numFmtId="44" fontId="1" fillId="0" borderId="0" applyFont="0" applyFill="0" applyBorder="0" applyAlignment="0" applyProtection="0"/>
    <xf numFmtId="0" fontId="15" fillId="0" borderId="0"/>
    <xf numFmtId="0" fontId="23" fillId="0" borderId="0">
      <alignment horizontal="right"/>
    </xf>
    <xf numFmtId="0" fontId="35" fillId="0" borderId="0" applyNumberFormat="0" applyFill="0" applyBorder="0" applyAlignment="0" applyProtection="0"/>
    <xf numFmtId="0" fontId="40" fillId="0" borderId="0" applyFill="0" applyBorder="0" applyAlignment="0" applyProtection="0"/>
    <xf numFmtId="0" fontId="42" fillId="0" borderId="0">
      <alignment horizontal="right" vertical="center"/>
    </xf>
    <xf numFmtId="0" fontId="1" fillId="0" borderId="0">
      <alignment vertical="center"/>
    </xf>
    <xf numFmtId="7" fontId="1" fillId="0" borderId="0" applyFont="0" applyFill="0" applyBorder="0" applyProtection="0">
      <alignment horizontal="right" vertical="center"/>
    </xf>
    <xf numFmtId="0" fontId="1" fillId="0" borderId="0">
      <alignment vertical="center" wrapText="1"/>
    </xf>
    <xf numFmtId="0" fontId="1" fillId="0" borderId="0" applyFill="0" applyBorder="0">
      <alignment horizontal="left" vertical="center" wrapText="1" indent="5"/>
    </xf>
    <xf numFmtId="0" fontId="1" fillId="0" borderId="0">
      <alignment horizontal="left" vertical="center" indent="5"/>
    </xf>
    <xf numFmtId="0" fontId="47" fillId="0" borderId="0" applyFill="0" applyBorder="0" applyProtection="0">
      <alignment horizontal="left" indent="2"/>
    </xf>
    <xf numFmtId="0" fontId="47" fillId="0" borderId="0" applyFill="0" applyBorder="0" applyProtection="0">
      <alignment horizontal="right" vertical="center" indent="1"/>
    </xf>
    <xf numFmtId="14" fontId="1" fillId="0" borderId="0" applyFill="0" applyBorder="0">
      <alignment horizontal="left" vertical="center" wrapText="1"/>
    </xf>
    <xf numFmtId="1" fontId="1" fillId="0" borderId="0" applyFill="0" applyBorder="0">
      <alignment horizontal="left" vertical="center" wrapText="1"/>
    </xf>
    <xf numFmtId="0" fontId="48" fillId="0" borderId="0" applyNumberFormat="0" applyFill="0" applyBorder="0" applyProtection="0">
      <alignment horizontal="left" vertical="top"/>
    </xf>
    <xf numFmtId="0" fontId="49" fillId="0" borderId="0" applyNumberFormat="0" applyFill="0" applyProtection="0">
      <alignment horizontal="left" vertical="center"/>
    </xf>
    <xf numFmtId="0" fontId="50" fillId="0" borderId="0" applyFill="0" applyProtection="0">
      <alignment horizontal="right" vertical="center"/>
    </xf>
    <xf numFmtId="0" fontId="51" fillId="0" borderId="0">
      <alignment wrapText="1"/>
    </xf>
    <xf numFmtId="0" fontId="52" fillId="0" borderId="0" applyNumberFormat="0" applyFill="0" applyBorder="0" applyProtection="0">
      <alignment horizontal="center"/>
    </xf>
    <xf numFmtId="164" fontId="51" fillId="0" borderId="0" applyFont="0" applyFill="0" applyBorder="0" applyProtection="0">
      <alignment horizontal="right"/>
    </xf>
    <xf numFmtId="4" fontId="51" fillId="0" borderId="0" applyFont="0" applyFill="0" applyBorder="0" applyProtection="0">
      <alignment horizontal="right"/>
    </xf>
    <xf numFmtId="0" fontId="56" fillId="0" borderId="27" applyNumberFormat="0" applyProtection="0"/>
    <xf numFmtId="166" fontId="57" fillId="0" borderId="0" applyFont="0" applyFill="0" applyBorder="0">
      <alignment horizontal="left" vertical="top"/>
    </xf>
    <xf numFmtId="166" fontId="57" fillId="0" borderId="0" applyFont="0" applyFill="0" applyBorder="0">
      <alignment horizontal="left" vertical="top" indent="8"/>
    </xf>
    <xf numFmtId="0" fontId="57" fillId="0" borderId="0" applyNumberFormat="0" applyFill="0" applyProtection="0">
      <alignment horizontal="left"/>
    </xf>
    <xf numFmtId="0" fontId="51" fillId="0" borderId="0" applyNumberFormat="0" applyFont="0" applyFill="0" applyBorder="0">
      <alignment horizontal="left" indent="8"/>
    </xf>
    <xf numFmtId="0" fontId="58" fillId="0" borderId="0" applyNumberFormat="0" applyFill="0" applyProtection="0"/>
    <xf numFmtId="166" fontId="51" fillId="0" borderId="0" applyFont="0" applyFill="0" applyBorder="0" applyAlignment="0">
      <alignment horizontal="left" wrapText="1"/>
    </xf>
    <xf numFmtId="14" fontId="51" fillId="0" borderId="0" applyFont="0" applyFill="0" applyBorder="0">
      <alignment horizontal="left"/>
    </xf>
    <xf numFmtId="0" fontId="60" fillId="0" borderId="0" applyNumberFormat="0" applyFill="0" applyBorder="0" applyProtection="0">
      <alignment horizontal="left"/>
    </xf>
    <xf numFmtId="0" fontId="61" fillId="0" borderId="0" applyNumberFormat="0" applyFill="0" applyBorder="0" applyProtection="0">
      <alignment horizontal="right"/>
    </xf>
    <xf numFmtId="0" fontId="63" fillId="0" borderId="0">
      <alignment wrapText="1"/>
    </xf>
    <xf numFmtId="0" fontId="64" fillId="0" borderId="0" applyNumberFormat="0" applyAlignment="0" applyProtection="0"/>
    <xf numFmtId="44" fontId="66" fillId="0" borderId="0" applyFill="0" applyBorder="0" applyProtection="0">
      <alignment horizontal="right"/>
    </xf>
    <xf numFmtId="0" fontId="68" fillId="0" borderId="0" applyNumberFormat="0" applyFill="0" applyProtection="0">
      <alignment horizontal="right" indent="1"/>
    </xf>
    <xf numFmtId="10" fontId="15" fillId="0" borderId="0" applyFont="0" applyFill="0" applyBorder="0" applyProtection="0">
      <alignment horizontal="right"/>
    </xf>
    <xf numFmtId="0" fontId="72" fillId="0" borderId="0" applyNumberFormat="0" applyFill="0" applyBorder="0" applyProtection="0">
      <alignment horizontal="right" indent="1"/>
    </xf>
    <xf numFmtId="44" fontId="15" fillId="0" borderId="0" applyFont="0" applyFill="0" applyBorder="0" applyProtection="0">
      <alignment horizontal="right"/>
    </xf>
    <xf numFmtId="0" fontId="63" fillId="0" borderId="0" applyNumberFormat="0" applyFont="0" applyFill="0" applyBorder="0" applyProtection="0">
      <alignment horizontal="center" vertical="center"/>
    </xf>
    <xf numFmtId="0" fontId="63" fillId="0" borderId="0" applyNumberFormat="0" applyFont="0" applyFill="0" applyBorder="0">
      <alignment vertical="center" wrapText="1"/>
    </xf>
    <xf numFmtId="166" fontId="63" fillId="0" borderId="0" applyFont="0" applyFill="0" applyBorder="0">
      <alignment horizontal="left"/>
    </xf>
    <xf numFmtId="0" fontId="72" fillId="0" borderId="0" applyNumberFormat="0" applyFill="0" applyBorder="0" applyProtection="0"/>
    <xf numFmtId="0" fontId="72" fillId="0" borderId="0" applyNumberFormat="0" applyFill="0" applyBorder="0" applyProtection="0">
      <alignment vertical="top" wrapText="1"/>
    </xf>
    <xf numFmtId="167" fontId="63" fillId="0" borderId="0" applyFont="0" applyFill="0" applyBorder="0">
      <alignment horizontal="left"/>
    </xf>
    <xf numFmtId="0" fontId="82" fillId="0" borderId="0" applyNumberFormat="0" applyFill="0" applyBorder="0" applyProtection="0">
      <alignment horizontal="left"/>
    </xf>
    <xf numFmtId="0" fontId="83" fillId="0" borderId="0" applyNumberFormat="0" applyFill="0" applyBorder="0" applyProtection="0">
      <alignment horizontal="right" vertical="center"/>
    </xf>
    <xf numFmtId="0" fontId="63" fillId="0" borderId="0">
      <alignment horizontal="left" vertical="center" wrapText="1"/>
    </xf>
    <xf numFmtId="0" fontId="66" fillId="0" borderId="0" applyNumberFormat="0" applyFill="0" applyBorder="0" applyProtection="0">
      <alignment horizontal="center"/>
    </xf>
    <xf numFmtId="44" fontId="63" fillId="0" borderId="0" applyFont="0" applyFill="0" applyBorder="0" applyProtection="0">
      <alignment horizontal="right" vertical="center"/>
    </xf>
    <xf numFmtId="0" fontId="63" fillId="0" borderId="0" applyNumberFormat="0" applyFont="0" applyFill="0" applyBorder="0" applyProtection="0">
      <alignment horizontal="right" vertical="center" indent="1"/>
    </xf>
    <xf numFmtId="10" fontId="63" fillId="0" borderId="0" applyFont="0" applyFill="0" applyBorder="0" applyProtection="0">
      <alignment horizontal="right" vertical="center"/>
    </xf>
    <xf numFmtId="164" fontId="63" fillId="0" borderId="0" applyFont="0" applyFill="0" applyBorder="0" applyProtection="0">
      <alignment horizontal="right" vertical="center"/>
    </xf>
    <xf numFmtId="2" fontId="63" fillId="0" borderId="0" applyFont="0" applyFill="0" applyBorder="0" applyProtection="0">
      <alignment horizontal="right" vertical="center"/>
    </xf>
    <xf numFmtId="0" fontId="63" fillId="0" borderId="0" applyNumberFormat="0" applyFont="0" applyFill="0" applyBorder="0" applyProtection="0">
      <alignment horizontal="center" vertical="center"/>
    </xf>
    <xf numFmtId="166" fontId="63" fillId="0" borderId="0" applyFont="0" applyFill="0" applyBorder="0">
      <alignment horizontal="left" vertical="top"/>
    </xf>
    <xf numFmtId="0" fontId="66" fillId="0" borderId="0" applyNumberFormat="0" applyFill="0" applyProtection="0">
      <alignment horizontal="left"/>
    </xf>
    <xf numFmtId="0" fontId="63" fillId="0" borderId="0" applyNumberFormat="0" applyFont="0" applyFill="0" applyBorder="0">
      <alignment horizontal="left" vertical="top" wrapText="1"/>
    </xf>
    <xf numFmtId="168" fontId="63" fillId="0" borderId="0" applyFont="0" applyFill="0" applyBorder="0">
      <alignment horizontal="left"/>
    </xf>
    <xf numFmtId="0" fontId="72" fillId="0" borderId="0" applyNumberFormat="0" applyFill="0" applyProtection="0">
      <alignment horizontal="left" vertical="top" wrapText="1"/>
    </xf>
    <xf numFmtId="0" fontId="91" fillId="0" borderId="0" applyNumberFormat="0" applyFill="0" applyBorder="0" applyProtection="0">
      <alignment horizontal="right"/>
    </xf>
    <xf numFmtId="0" fontId="92" fillId="0" borderId="0" applyNumberFormat="0" applyFill="0" applyProtection="0">
      <alignment horizontal="left" wrapText="1"/>
    </xf>
    <xf numFmtId="169" fontId="94" fillId="0" borderId="0" applyFont="0" applyFill="0" applyBorder="0" applyProtection="0">
      <alignment horizontal="right" vertical="center"/>
    </xf>
    <xf numFmtId="169" fontId="13" fillId="0" borderId="0" applyProtection="0">
      <alignment horizontal="right" vertical="center"/>
    </xf>
    <xf numFmtId="0" fontId="94" fillId="0" borderId="0" applyFont="0" applyFill="0" applyBorder="0">
      <alignment vertical="center" wrapText="1"/>
    </xf>
    <xf numFmtId="166" fontId="94" fillId="0" borderId="0" applyFont="0" applyFill="0" applyBorder="0">
      <alignment horizontal="left" vertical="top"/>
    </xf>
    <xf numFmtId="0" fontId="66" fillId="0" borderId="0" applyNumberFormat="0" applyFill="0" applyAlignment="0" applyProtection="0"/>
    <xf numFmtId="0" fontId="94" fillId="0" borderId="0" applyFont="0" applyFill="0" applyBorder="0">
      <alignment horizontal="right" vertical="top" wrapText="1"/>
    </xf>
    <xf numFmtId="0" fontId="94" fillId="0" borderId="0" applyNumberFormat="0" applyFont="0" applyFill="0" applyBorder="0">
      <alignment horizontal="right" wrapText="1"/>
    </xf>
    <xf numFmtId="0" fontId="72" fillId="0" borderId="0" applyNumberFormat="0" applyFill="0" applyProtection="0">
      <alignment vertical="top" wrapText="1"/>
    </xf>
    <xf numFmtId="0" fontId="96" fillId="0" borderId="0" applyNumberFormat="0" applyFill="0" applyProtection="0"/>
    <xf numFmtId="0" fontId="97" fillId="0" borderId="0">
      <alignment horizontal="left" vertical="center" wrapText="1" indent="1"/>
    </xf>
    <xf numFmtId="0" fontId="13" fillId="0" borderId="0" applyNumberFormat="0" applyFill="0" applyProtection="0">
      <alignment horizontal="center" wrapText="1"/>
    </xf>
    <xf numFmtId="169" fontId="97" fillId="0" borderId="0" applyFont="0" applyFill="0" applyBorder="0" applyAlignment="0" applyProtection="0"/>
    <xf numFmtId="0" fontId="63" fillId="0" borderId="0" applyNumberFormat="0" applyFill="0" applyProtection="0">
      <alignment vertical="top"/>
    </xf>
    <xf numFmtId="0" fontId="66" fillId="0" borderId="0" applyNumberFormat="0" applyFill="0" applyProtection="0"/>
    <xf numFmtId="171" fontId="63" fillId="0" borderId="0">
      <alignment horizontal="right" indent="1"/>
    </xf>
    <xf numFmtId="0" fontId="98" fillId="0" borderId="0" applyNumberFormat="0" applyFill="0" applyBorder="0" applyProtection="0">
      <alignment horizontal="right"/>
    </xf>
    <xf numFmtId="0" fontId="1" fillId="0" borderId="45" applyNumberFormat="0" applyFill="0" applyBorder="0" applyProtection="0">
      <alignment horizontal="right" vertical="center"/>
    </xf>
    <xf numFmtId="0" fontId="1" fillId="0" borderId="0"/>
    <xf numFmtId="0" fontId="1" fillId="0" borderId="0">
      <alignment horizontal="left" wrapText="1"/>
    </xf>
    <xf numFmtId="164" fontId="1" fillId="0" borderId="0" applyFont="0" applyFill="0" applyBorder="0" applyProtection="0">
      <alignment horizontal="right"/>
    </xf>
    <xf numFmtId="0" fontId="111" fillId="0" borderId="0" applyNumberFormat="0" applyFill="0" applyProtection="0">
      <alignment horizontal="center" vertical="top"/>
    </xf>
    <xf numFmtId="0" fontId="112" fillId="0" borderId="0" applyNumberFormat="0" applyFill="0" applyBorder="0" applyProtection="0">
      <alignment horizontal="center"/>
    </xf>
    <xf numFmtId="0" fontId="113" fillId="0" borderId="53" applyNumberFormat="0" applyFill="0" applyProtection="0">
      <alignment horizontal="center"/>
    </xf>
    <xf numFmtId="0" fontId="114" fillId="0" borderId="0" applyNumberFormat="0" applyFill="0" applyProtection="0">
      <alignment horizontal="right" indent="1"/>
    </xf>
    <xf numFmtId="14" fontId="1" fillId="0" borderId="0" applyFont="0" applyFill="0" applyBorder="0">
      <alignment horizontal="right"/>
    </xf>
    <xf numFmtId="0" fontId="63" fillId="0" borderId="0">
      <alignment horizontal="left" vertical="center" wrapText="1" indent="1"/>
    </xf>
    <xf numFmtId="44" fontId="94" fillId="0" borderId="0" applyFont="0" applyFill="0" applyBorder="0" applyAlignment="0" applyProtection="0"/>
    <xf numFmtId="0" fontId="66" fillId="0" borderId="63">
      <alignment horizontal="left"/>
    </xf>
    <xf numFmtId="0" fontId="63" fillId="0" borderId="62" applyFont="0" applyFill="0" applyAlignment="0">
      <alignment horizontal="left"/>
    </xf>
    <xf numFmtId="0" fontId="66" fillId="41" borderId="64">
      <alignment horizontal="left" vertical="center"/>
    </xf>
    <xf numFmtId="0" fontId="63" fillId="0" borderId="65" applyNumberFormat="0" applyFont="0" applyFill="0" applyAlignment="0">
      <alignment horizontal="left" vertical="center" wrapText="1" indent="1"/>
    </xf>
    <xf numFmtId="0" fontId="118" fillId="0" borderId="0">
      <alignment vertical="top" wrapText="1"/>
    </xf>
    <xf numFmtId="0" fontId="63" fillId="0" borderId="0">
      <alignment horizontal="left"/>
    </xf>
    <xf numFmtId="0" fontId="66" fillId="0" borderId="0">
      <alignment wrapText="1"/>
    </xf>
    <xf numFmtId="0" fontId="81" fillId="0" borderId="0">
      <alignment vertical="center"/>
    </xf>
    <xf numFmtId="0" fontId="121" fillId="0" borderId="0">
      <alignment vertical="center"/>
    </xf>
    <xf numFmtId="166" fontId="63" fillId="0" borderId="0" applyFont="0" applyFill="0" applyBorder="0" applyAlignment="0">
      <alignment horizontal="left" vertical="center" indent="1"/>
    </xf>
    <xf numFmtId="167" fontId="63" fillId="0" borderId="0" applyFont="0" applyFill="0" applyBorder="0" applyAlignment="0">
      <alignment horizontal="left" vertical="center" indent="1"/>
    </xf>
    <xf numFmtId="43" fontId="1" fillId="0" borderId="0" applyFont="0" applyFill="0" applyBorder="0" applyAlignment="0" applyProtection="0"/>
  </cellStyleXfs>
  <cellXfs count="572">
    <xf numFmtId="0" fontId="0" fillId="0" borderId="0" xfId="0"/>
    <xf numFmtId="44" fontId="0" fillId="0" borderId="0" xfId="1" applyFont="1" applyAlignment="1">
      <alignment horizontal="center" vertical="center"/>
    </xf>
    <xf numFmtId="44" fontId="3" fillId="0" borderId="0" xfId="1" applyFont="1" applyAlignment="1">
      <alignment horizontal="center" vertical="center"/>
    </xf>
    <xf numFmtId="164" fontId="0" fillId="0" borderId="0" xfId="1" applyNumberFormat="1" applyFont="1" applyAlignment="1">
      <alignment horizontal="center" vertical="center"/>
    </xf>
    <xf numFmtId="44" fontId="0" fillId="3" borderId="1" xfId="1" applyFont="1" applyFill="1" applyBorder="1" applyAlignment="1">
      <alignment horizontal="center" vertical="center"/>
    </xf>
    <xf numFmtId="0" fontId="0" fillId="3" borderId="1" xfId="0" applyFill="1" applyBorder="1"/>
    <xf numFmtId="44" fontId="0" fillId="5" borderId="1" xfId="1" applyFont="1" applyFill="1" applyBorder="1" applyAlignment="1">
      <alignment horizontal="center" vertical="center"/>
    </xf>
    <xf numFmtId="0" fontId="5" fillId="0" borderId="5" xfId="0" applyFont="1" applyBorder="1" applyAlignment="1">
      <alignment horizontal="center" vertical="center"/>
    </xf>
    <xf numFmtId="0" fontId="8" fillId="6" borderId="1" xfId="0" applyFont="1" applyFill="1" applyBorder="1"/>
    <xf numFmtId="0" fontId="6" fillId="6" borderId="6" xfId="0" applyFont="1" applyFill="1" applyBorder="1"/>
    <xf numFmtId="164" fontId="9" fillId="0" borderId="7" xfId="0" applyNumberFormat="1" applyFont="1" applyBorder="1"/>
    <xf numFmtId="44" fontId="0" fillId="7" borderId="2" xfId="0" applyNumberFormat="1" applyFill="1" applyBorder="1"/>
    <xf numFmtId="44" fontId="0" fillId="7" borderId="3" xfId="0" applyNumberFormat="1" applyFill="1" applyBorder="1"/>
    <xf numFmtId="44" fontId="0" fillId="7" borderId="4" xfId="0" applyNumberFormat="1" applyFill="1" applyBorder="1"/>
    <xf numFmtId="0" fontId="16" fillId="0" borderId="0" xfId="2" applyFont="1"/>
    <xf numFmtId="0" fontId="17" fillId="0" borderId="0" xfId="2" applyFont="1" applyAlignment="1">
      <alignment wrapText="1"/>
    </xf>
    <xf numFmtId="0" fontId="18" fillId="0" borderId="0" xfId="2" applyFont="1" applyAlignment="1">
      <alignment horizontal="center"/>
    </xf>
    <xf numFmtId="0" fontId="16" fillId="0" borderId="0" xfId="2" applyFont="1" applyAlignment="1">
      <alignment horizontal="center"/>
    </xf>
    <xf numFmtId="0" fontId="19" fillId="0" borderId="0" xfId="2" applyFont="1" applyAlignment="1">
      <alignment horizontal="left" vertical="center" wrapText="1" indent="14"/>
    </xf>
    <xf numFmtId="0" fontId="20" fillId="0" borderId="0" xfId="2" applyFont="1" applyAlignment="1">
      <alignment horizontal="left" vertical="center" wrapText="1"/>
    </xf>
    <xf numFmtId="0" fontId="21" fillId="0" borderId="0" xfId="2" applyFont="1" applyAlignment="1">
      <alignment vertical="center" wrapText="1"/>
    </xf>
    <xf numFmtId="0" fontId="16" fillId="0" borderId="0" xfId="2" applyFont="1" applyAlignment="1">
      <alignment horizontal="left"/>
    </xf>
    <xf numFmtId="10" fontId="22" fillId="10" borderId="8" xfId="2" applyNumberFormat="1" applyFont="1" applyFill="1" applyBorder="1" applyAlignment="1">
      <alignment horizontal="right" vertical="center" indent="1"/>
    </xf>
    <xf numFmtId="0" fontId="23" fillId="11" borderId="9" xfId="3" applyFill="1" applyBorder="1">
      <alignment horizontal="right"/>
    </xf>
    <xf numFmtId="0" fontId="24" fillId="0" borderId="0" xfId="2" applyFont="1" applyAlignment="1">
      <alignment horizontal="right" vertical="center" wrapText="1"/>
    </xf>
    <xf numFmtId="44" fontId="25" fillId="12" borderId="10" xfId="2" applyNumberFormat="1" applyFont="1" applyFill="1" applyBorder="1"/>
    <xf numFmtId="0" fontId="26" fillId="13" borderId="11" xfId="2" applyFont="1" applyFill="1" applyBorder="1"/>
    <xf numFmtId="0" fontId="22" fillId="11" borderId="9" xfId="2" applyFont="1" applyFill="1" applyBorder="1" applyAlignment="1">
      <alignment horizontal="left" vertical="center"/>
    </xf>
    <xf numFmtId="0" fontId="22" fillId="11" borderId="12" xfId="2" applyFont="1" applyFill="1" applyBorder="1" applyAlignment="1">
      <alignment horizontal="left" vertical="center"/>
    </xf>
    <xf numFmtId="44" fontId="27" fillId="0" borderId="0" xfId="2" applyNumberFormat="1" applyFont="1" applyAlignment="1">
      <alignment vertical="center"/>
    </xf>
    <xf numFmtId="0" fontId="28" fillId="0" borderId="0" xfId="2" applyFont="1" applyAlignment="1">
      <alignment horizontal="center" vertical="center"/>
    </xf>
    <xf numFmtId="44" fontId="27" fillId="14" borderId="10" xfId="2" applyNumberFormat="1" applyFont="1" applyFill="1" applyBorder="1" applyAlignment="1">
      <alignment horizontal="center" vertical="center"/>
    </xf>
    <xf numFmtId="0" fontId="28" fillId="15" borderId="10" xfId="2" applyFont="1" applyFill="1" applyBorder="1" applyAlignment="1">
      <alignment horizontal="center" vertical="center"/>
    </xf>
    <xf numFmtId="44" fontId="27" fillId="11" borderId="0" xfId="2" applyNumberFormat="1" applyFont="1" applyFill="1" applyAlignment="1">
      <alignment vertical="center"/>
    </xf>
    <xf numFmtId="0" fontId="27" fillId="11" borderId="0" xfId="2" applyFont="1" applyFill="1" applyAlignment="1">
      <alignment vertical="center"/>
    </xf>
    <xf numFmtId="44" fontId="27" fillId="11" borderId="0" xfId="2" applyNumberFormat="1" applyFont="1" applyFill="1" applyAlignment="1">
      <alignment horizontal="center" vertical="center"/>
    </xf>
    <xf numFmtId="0" fontId="27" fillId="0" borderId="0" xfId="2" applyFont="1" applyAlignment="1">
      <alignment horizontal="left" vertical="center"/>
    </xf>
    <xf numFmtId="44" fontId="27" fillId="0" borderId="0" xfId="2" applyNumberFormat="1" applyFont="1" applyAlignment="1">
      <alignment horizontal="center" vertical="center"/>
    </xf>
    <xf numFmtId="0" fontId="29" fillId="0" borderId="0" xfId="2" applyFont="1"/>
    <xf numFmtId="0" fontId="30" fillId="11" borderId="0" xfId="2" applyFont="1" applyFill="1" applyAlignment="1">
      <alignment horizontal="center" vertical="center"/>
    </xf>
    <xf numFmtId="0" fontId="30" fillId="0" borderId="0" xfId="2" applyFont="1" applyAlignment="1">
      <alignment horizontal="center" vertical="center"/>
    </xf>
    <xf numFmtId="0" fontId="31" fillId="0" borderId="0" xfId="2" applyFont="1" applyAlignment="1">
      <alignment wrapText="1"/>
    </xf>
    <xf numFmtId="0" fontId="16" fillId="10" borderId="0" xfId="2" applyFont="1" applyFill="1"/>
    <xf numFmtId="0" fontId="22" fillId="10" borderId="0" xfId="2" applyFont="1" applyFill="1" applyAlignment="1">
      <alignment horizontal="right"/>
    </xf>
    <xf numFmtId="0" fontId="22" fillId="10" borderId="0" xfId="2" applyFont="1" applyFill="1" applyAlignment="1">
      <alignment horizontal="left" wrapText="1"/>
    </xf>
    <xf numFmtId="0" fontId="22" fillId="10" borderId="0" xfId="2" applyFont="1" applyFill="1" applyAlignment="1">
      <alignment horizontal="left"/>
    </xf>
    <xf numFmtId="0" fontId="17" fillId="10" borderId="0" xfId="2" applyFont="1" applyFill="1" applyAlignment="1">
      <alignment wrapText="1"/>
    </xf>
    <xf numFmtId="0" fontId="22" fillId="0" borderId="0" xfId="2" applyFont="1" applyAlignment="1">
      <alignment vertical="top"/>
    </xf>
    <xf numFmtId="0" fontId="22" fillId="0" borderId="13" xfId="2" applyFont="1" applyBorder="1" applyAlignment="1">
      <alignment vertical="top"/>
    </xf>
    <xf numFmtId="0" fontId="22" fillId="0" borderId="13" xfId="2" applyFont="1" applyBorder="1" applyAlignment="1">
      <alignment horizontal="left" vertical="top"/>
    </xf>
    <xf numFmtId="0" fontId="33" fillId="0" borderId="0" xfId="2" applyFont="1" applyAlignment="1">
      <alignment vertical="top" wrapText="1"/>
    </xf>
    <xf numFmtId="0" fontId="22" fillId="0" borderId="0" xfId="2" applyFont="1"/>
    <xf numFmtId="0" fontId="22" fillId="0" borderId="0" xfId="2" applyFont="1" applyAlignment="1">
      <alignment horizontal="left"/>
    </xf>
    <xf numFmtId="0" fontId="33" fillId="0" borderId="0" xfId="2" applyFont="1" applyAlignment="1">
      <alignment wrapText="1"/>
    </xf>
    <xf numFmtId="0" fontId="34" fillId="0" borderId="0" xfId="2" applyFont="1" applyAlignment="1">
      <alignment horizontal="left"/>
    </xf>
    <xf numFmtId="0" fontId="23" fillId="0" borderId="0" xfId="3">
      <alignment horizontal="right"/>
    </xf>
    <xf numFmtId="0" fontId="23" fillId="0" borderId="13" xfId="3" applyBorder="1" applyAlignment="1">
      <alignment horizontal="right" vertical="top"/>
    </xf>
    <xf numFmtId="0" fontId="36" fillId="0" borderId="13" xfId="4" applyFont="1" applyBorder="1" applyAlignment="1">
      <alignment vertical="top"/>
    </xf>
    <xf numFmtId="0" fontId="37" fillId="0" borderId="0" xfId="2" applyFont="1" applyAlignment="1">
      <alignment horizontal="left" vertical="center"/>
    </xf>
    <xf numFmtId="0" fontId="38" fillId="0" borderId="0" xfId="3" applyFont="1" applyAlignment="1">
      <alignment horizontal="right" vertical="center"/>
    </xf>
    <xf numFmtId="14" fontId="39" fillId="0" borderId="14" xfId="2" applyNumberFormat="1" applyFont="1" applyBorder="1" applyAlignment="1">
      <alignment horizontal="left"/>
    </xf>
    <xf numFmtId="0" fontId="38" fillId="0" borderId="14" xfId="3" applyFont="1" applyBorder="1">
      <alignment horizontal="right"/>
    </xf>
    <xf numFmtId="0" fontId="1" fillId="0" borderId="0" xfId="7">
      <alignment vertical="center"/>
    </xf>
    <xf numFmtId="8" fontId="19" fillId="16" borderId="15" xfId="7" applyNumberFormat="1" applyFont="1" applyFill="1" applyBorder="1" applyAlignment="1">
      <alignment horizontal="center" vertical="center"/>
    </xf>
    <xf numFmtId="0" fontId="30" fillId="17" borderId="15" xfId="7" applyFont="1" applyFill="1" applyBorder="1" applyAlignment="1">
      <alignment horizontal="center" vertical="center"/>
    </xf>
    <xf numFmtId="8" fontId="1" fillId="0" borderId="15" xfId="7" applyNumberFormat="1" applyBorder="1" applyAlignment="1">
      <alignment horizontal="center" vertical="center"/>
    </xf>
    <xf numFmtId="0" fontId="12" fillId="17" borderId="15" xfId="7" applyFont="1" applyFill="1" applyBorder="1" applyAlignment="1">
      <alignment horizontal="center" vertical="center"/>
    </xf>
    <xf numFmtId="7" fontId="45" fillId="0" borderId="0" xfId="8" applyFont="1" applyFill="1" applyBorder="1" applyAlignment="1">
      <alignment horizontal="center" vertical="center"/>
    </xf>
    <xf numFmtId="7" fontId="45" fillId="0" borderId="16" xfId="8" applyFont="1" applyFill="1" applyBorder="1" applyAlignment="1">
      <alignment horizontal="center" vertical="center"/>
    </xf>
    <xf numFmtId="165" fontId="46" fillId="0" borderId="16" xfId="7" applyNumberFormat="1" applyFont="1" applyBorder="1">
      <alignment vertical="center"/>
    </xf>
    <xf numFmtId="0" fontId="46" fillId="0" borderId="16" xfId="9" applyFont="1" applyBorder="1">
      <alignment vertical="center" wrapText="1"/>
    </xf>
    <xf numFmtId="7" fontId="45" fillId="18" borderId="0" xfId="8" applyFont="1" applyFill="1" applyBorder="1" applyAlignment="1">
      <alignment horizontal="center" vertical="center"/>
    </xf>
    <xf numFmtId="7" fontId="45" fillId="18" borderId="16" xfId="8" applyFont="1" applyFill="1" applyBorder="1" applyAlignment="1">
      <alignment horizontal="center" vertical="center"/>
    </xf>
    <xf numFmtId="165" fontId="46" fillId="18" borderId="16" xfId="7" applyNumberFormat="1" applyFont="1" applyFill="1" applyBorder="1">
      <alignment vertical="center"/>
    </xf>
    <xf numFmtId="0" fontId="46" fillId="18" borderId="16" xfId="9" applyFont="1" applyFill="1" applyBorder="1">
      <alignment vertical="center" wrapText="1"/>
    </xf>
    <xf numFmtId="0" fontId="14" fillId="19" borderId="0" xfId="7" applyFont="1" applyFill="1" applyAlignment="1">
      <alignment horizontal="center" vertical="center"/>
    </xf>
    <xf numFmtId="0" fontId="14" fillId="19" borderId="0" xfId="7" applyFont="1" applyFill="1">
      <alignment vertical="center"/>
    </xf>
    <xf numFmtId="0" fontId="1" fillId="0" borderId="0" xfId="11">
      <alignment horizontal="left" vertical="center" indent="5"/>
    </xf>
    <xf numFmtId="0" fontId="47" fillId="0" borderId="0" xfId="12">
      <alignment horizontal="left" indent="2"/>
    </xf>
    <xf numFmtId="0" fontId="0" fillId="0" borderId="0" xfId="11" applyFont="1">
      <alignment horizontal="left" vertical="center" indent="5"/>
    </xf>
    <xf numFmtId="0" fontId="47" fillId="0" borderId="0" xfId="13">
      <alignment horizontal="right" vertical="center" indent="1"/>
    </xf>
    <xf numFmtId="14" fontId="1" fillId="0" borderId="0" xfId="14">
      <alignment horizontal="left" vertical="center" wrapText="1"/>
    </xf>
    <xf numFmtId="1" fontId="1" fillId="0" borderId="0" xfId="15">
      <alignment horizontal="left" vertical="center" wrapText="1"/>
    </xf>
    <xf numFmtId="0" fontId="48" fillId="0" borderId="0" xfId="16">
      <alignment horizontal="left" vertical="top"/>
    </xf>
    <xf numFmtId="0" fontId="49" fillId="0" borderId="0" xfId="17">
      <alignment horizontal="left" vertical="center"/>
    </xf>
    <xf numFmtId="0" fontId="51" fillId="0" borderId="0" xfId="19">
      <alignment wrapText="1"/>
    </xf>
    <xf numFmtId="0" fontId="51" fillId="0" borderId="17" xfId="19" applyBorder="1">
      <alignment wrapText="1"/>
    </xf>
    <xf numFmtId="0" fontId="51" fillId="0" borderId="12" xfId="19" applyBorder="1">
      <alignment wrapText="1"/>
    </xf>
    <xf numFmtId="0" fontId="51" fillId="0" borderId="9" xfId="19" applyBorder="1">
      <alignment wrapText="1"/>
    </xf>
    <xf numFmtId="164" fontId="51" fillId="0" borderId="18" xfId="19" applyNumberFormat="1" applyBorder="1">
      <alignment wrapText="1"/>
    </xf>
    <xf numFmtId="0" fontId="54" fillId="0" borderId="19" xfId="20" applyFont="1" applyBorder="1" applyAlignment="1"/>
    <xf numFmtId="0" fontId="51" fillId="11" borderId="20" xfId="19" applyFill="1" applyBorder="1">
      <alignment wrapText="1"/>
    </xf>
    <xf numFmtId="0" fontId="51" fillId="11" borderId="21" xfId="19" applyFill="1" applyBorder="1">
      <alignment wrapText="1"/>
    </xf>
    <xf numFmtId="0" fontId="51" fillId="0" borderId="22" xfId="19" applyBorder="1">
      <alignment wrapText="1"/>
    </xf>
    <xf numFmtId="164" fontId="55" fillId="0" borderId="23" xfId="19" applyNumberFormat="1" applyFont="1" applyBorder="1">
      <alignment wrapText="1"/>
    </xf>
    <xf numFmtId="0" fontId="54" fillId="0" borderId="24" xfId="20" applyFont="1" applyBorder="1" applyAlignment="1"/>
    <xf numFmtId="0" fontId="51" fillId="11" borderId="0" xfId="19" applyFill="1">
      <alignment wrapText="1"/>
    </xf>
    <xf numFmtId="164" fontId="52" fillId="0" borderId="25" xfId="20" applyNumberFormat="1" applyBorder="1" applyAlignment="1"/>
    <xf numFmtId="0" fontId="54" fillId="0" borderId="26" xfId="20" applyFont="1" applyBorder="1" applyAlignment="1"/>
    <xf numFmtId="0" fontId="52" fillId="0" borderId="0" xfId="20" applyAlignment="1"/>
    <xf numFmtId="164" fontId="0" fillId="0" borderId="0" xfId="21" applyFont="1" applyFill="1" applyBorder="1">
      <alignment horizontal="right"/>
    </xf>
    <xf numFmtId="165" fontId="0" fillId="0" borderId="0" xfId="22" applyNumberFormat="1" applyFont="1" applyFill="1" applyBorder="1">
      <alignment horizontal="right"/>
    </xf>
    <xf numFmtId="0" fontId="56" fillId="0" borderId="27" xfId="23" applyAlignment="1">
      <alignment horizontal="center"/>
    </xf>
    <xf numFmtId="0" fontId="56" fillId="0" borderId="27" xfId="23"/>
    <xf numFmtId="166" fontId="57" fillId="0" borderId="0" xfId="24" applyFont="1">
      <alignment horizontal="left" vertical="top"/>
    </xf>
    <xf numFmtId="166" fontId="57" fillId="0" borderId="0" xfId="25" applyFont="1">
      <alignment horizontal="left" vertical="top" indent="8"/>
    </xf>
    <xf numFmtId="0" fontId="57" fillId="0" borderId="0" xfId="26">
      <alignment horizontal="left"/>
    </xf>
    <xf numFmtId="0" fontId="57" fillId="0" borderId="0" xfId="27" applyFont="1">
      <alignment horizontal="left" indent="8"/>
    </xf>
    <xf numFmtId="0" fontId="58" fillId="0" borderId="0" xfId="28"/>
    <xf numFmtId="0" fontId="58" fillId="0" borderId="0" xfId="26" applyFont="1">
      <alignment horizontal="left"/>
    </xf>
    <xf numFmtId="0" fontId="59" fillId="0" borderId="0" xfId="19" applyFont="1">
      <alignment wrapText="1"/>
    </xf>
    <xf numFmtId="166" fontId="58" fillId="0" borderId="0" xfId="29" applyFont="1" applyAlignment="1">
      <alignment horizontal="left"/>
    </xf>
    <xf numFmtId="14" fontId="57" fillId="0" borderId="0" xfId="30" applyFont="1">
      <alignment horizontal="left"/>
    </xf>
    <xf numFmtId="0" fontId="60" fillId="0" borderId="0" xfId="31" applyBorder="1">
      <alignment horizontal="left"/>
    </xf>
    <xf numFmtId="0" fontId="63" fillId="0" borderId="0" xfId="33">
      <alignment wrapText="1"/>
    </xf>
    <xf numFmtId="0" fontId="65" fillId="0" borderId="0" xfId="34" applyFont="1" applyAlignment="1">
      <alignment horizontal="left" readingOrder="1"/>
    </xf>
    <xf numFmtId="44" fontId="67" fillId="20" borderId="28" xfId="35" applyFont="1" applyFill="1" applyBorder="1">
      <alignment horizontal="right"/>
    </xf>
    <xf numFmtId="0" fontId="69" fillId="0" borderId="0" xfId="36" applyFont="1">
      <alignment horizontal="right" indent="1"/>
    </xf>
    <xf numFmtId="0" fontId="70" fillId="0" borderId="0" xfId="33" applyFont="1">
      <alignment wrapText="1"/>
    </xf>
    <xf numFmtId="44" fontId="71" fillId="0" borderId="28" xfId="37" applyNumberFormat="1" applyFont="1" applyBorder="1">
      <alignment horizontal="right"/>
    </xf>
    <xf numFmtId="0" fontId="73" fillId="0" borderId="0" xfId="38" applyFont="1" applyBorder="1">
      <alignment horizontal="right" indent="1"/>
    </xf>
    <xf numFmtId="0" fontId="75" fillId="0" borderId="0" xfId="33" applyFont="1">
      <alignment wrapText="1"/>
    </xf>
    <xf numFmtId="0" fontId="77" fillId="0" borderId="0" xfId="33" applyFont="1">
      <alignment wrapText="1"/>
    </xf>
    <xf numFmtId="166" fontId="78" fillId="0" borderId="0" xfId="42" applyFont="1">
      <alignment horizontal="left"/>
    </xf>
    <xf numFmtId="0" fontId="76" fillId="0" borderId="0" xfId="33" applyFont="1">
      <alignment wrapText="1"/>
    </xf>
    <xf numFmtId="166" fontId="76" fillId="0" borderId="0" xfId="42" applyFont="1">
      <alignment horizontal="left"/>
    </xf>
    <xf numFmtId="0" fontId="78" fillId="0" borderId="0" xfId="33" applyFont="1">
      <alignment wrapText="1"/>
    </xf>
    <xf numFmtId="0" fontId="79" fillId="0" borderId="0" xfId="43" applyFont="1"/>
    <xf numFmtId="0" fontId="80" fillId="0" borderId="0" xfId="43" applyFont="1"/>
    <xf numFmtId="0" fontId="76" fillId="0" borderId="0" xfId="33" applyFont="1" applyAlignment="1">
      <alignment horizontal="left"/>
    </xf>
    <xf numFmtId="14" fontId="77" fillId="0" borderId="0" xfId="45" applyNumberFormat="1" applyFont="1">
      <alignment horizontal="left"/>
    </xf>
    <xf numFmtId="0" fontId="81" fillId="0" borderId="0" xfId="43" applyFont="1"/>
    <xf numFmtId="0" fontId="82" fillId="0" borderId="0" xfId="46">
      <alignment horizontal="left"/>
    </xf>
    <xf numFmtId="0" fontId="27" fillId="0" borderId="0" xfId="33" applyFont="1">
      <alignment wrapText="1"/>
    </xf>
    <xf numFmtId="0" fontId="84" fillId="0" borderId="0" xfId="34" applyFont="1" applyAlignment="1">
      <alignment horizontal="left" readingOrder="1"/>
    </xf>
    <xf numFmtId="44" fontId="28" fillId="22" borderId="28" xfId="35" applyFont="1" applyFill="1" applyBorder="1">
      <alignment horizontal="right"/>
    </xf>
    <xf numFmtId="0" fontId="85" fillId="0" borderId="0" xfId="36" applyFont="1">
      <alignment horizontal="right" indent="1"/>
    </xf>
    <xf numFmtId="44" fontId="86" fillId="0" borderId="28" xfId="37" applyNumberFormat="1" applyFont="1" applyBorder="1">
      <alignment horizontal="right"/>
    </xf>
    <xf numFmtId="0" fontId="87" fillId="0" borderId="0" xfId="38" applyFont="1" applyBorder="1">
      <alignment horizontal="right" indent="1"/>
    </xf>
    <xf numFmtId="44" fontId="86" fillId="0" borderId="30" xfId="39" applyFont="1" applyBorder="1">
      <alignment horizontal="right"/>
    </xf>
    <xf numFmtId="0" fontId="87" fillId="0" borderId="29" xfId="38" applyFont="1" applyBorder="1">
      <alignment horizontal="right" indent="1"/>
    </xf>
    <xf numFmtId="0" fontId="27" fillId="0" borderId="29" xfId="33" applyFont="1" applyBorder="1" applyAlignment="1">
      <alignment horizontal="left"/>
    </xf>
    <xf numFmtId="0" fontId="27" fillId="0" borderId="31" xfId="33" applyFont="1" applyBorder="1">
      <alignment wrapText="1"/>
    </xf>
    <xf numFmtId="0" fontId="27" fillId="0" borderId="29" xfId="33" applyFont="1" applyBorder="1" applyAlignment="1">
      <alignment horizontal="left" wrapText="1"/>
    </xf>
    <xf numFmtId="0" fontId="7" fillId="0" borderId="0" xfId="33" applyFont="1">
      <alignment wrapText="1"/>
    </xf>
    <xf numFmtId="0" fontId="19" fillId="23" borderId="30" xfId="40" applyFont="1" applyFill="1" applyBorder="1">
      <alignment horizontal="center" vertical="center"/>
    </xf>
    <xf numFmtId="0" fontId="19" fillId="23" borderId="29" xfId="40" applyFont="1" applyFill="1" applyBorder="1">
      <alignment horizontal="center" vertical="center"/>
    </xf>
    <xf numFmtId="0" fontId="19" fillId="23" borderId="31" xfId="40" applyFont="1" applyFill="1" applyBorder="1">
      <alignment horizontal="center" vertical="center"/>
    </xf>
    <xf numFmtId="0" fontId="88" fillId="0" borderId="0" xfId="33" applyFont="1">
      <alignment wrapText="1"/>
    </xf>
    <xf numFmtId="166" fontId="88" fillId="0" borderId="0" xfId="42" applyFont="1">
      <alignment horizontal="left"/>
    </xf>
    <xf numFmtId="0" fontId="89" fillId="0" borderId="0" xfId="43" applyFont="1"/>
    <xf numFmtId="0" fontId="88" fillId="0" borderId="0" xfId="33" applyFont="1" applyAlignment="1">
      <alignment horizontal="left"/>
    </xf>
    <xf numFmtId="14" fontId="27" fillId="0" borderId="0" xfId="45" applyNumberFormat="1" applyFont="1">
      <alignment horizontal="left"/>
    </xf>
    <xf numFmtId="0" fontId="87" fillId="0" borderId="0" xfId="43" applyFont="1"/>
    <xf numFmtId="0" fontId="19" fillId="0" borderId="0" xfId="46" applyFont="1">
      <alignment horizontal="left"/>
    </xf>
    <xf numFmtId="0" fontId="63" fillId="0" borderId="0" xfId="48">
      <alignment horizontal="left" vertical="center" wrapText="1"/>
    </xf>
    <xf numFmtId="0" fontId="66" fillId="0" borderId="0" xfId="49">
      <alignment horizontal="center"/>
    </xf>
    <xf numFmtId="0" fontId="63" fillId="0" borderId="0" xfId="48">
      <alignment horizontal="left" vertical="center" wrapText="1"/>
    </xf>
    <xf numFmtId="166" fontId="0" fillId="0" borderId="0" xfId="56" applyFont="1">
      <alignment horizontal="left" vertical="top"/>
    </xf>
    <xf numFmtId="0" fontId="66" fillId="0" borderId="0" xfId="57">
      <alignment horizontal="left"/>
    </xf>
    <xf numFmtId="0" fontId="0" fillId="0" borderId="0" xfId="58" applyFont="1">
      <alignment horizontal="left" vertical="top" wrapText="1"/>
    </xf>
    <xf numFmtId="0" fontId="66" fillId="0" borderId="0" xfId="58" applyFont="1">
      <alignment horizontal="left" vertical="top" wrapText="1"/>
    </xf>
    <xf numFmtId="14" fontId="63" fillId="0" borderId="0" xfId="59" applyNumberFormat="1" applyFont="1">
      <alignment horizontal="left"/>
    </xf>
    <xf numFmtId="0" fontId="72" fillId="0" borderId="0" xfId="60">
      <alignment horizontal="left" vertical="top" wrapText="1"/>
    </xf>
    <xf numFmtId="0" fontId="92" fillId="0" borderId="0" xfId="62">
      <alignment horizontal="left" wrapText="1"/>
    </xf>
    <xf numFmtId="0" fontId="46" fillId="0" borderId="16" xfId="9" applyNumberFormat="1" applyFont="1" applyBorder="1" applyAlignment="1">
      <alignment vertical="center" wrapText="1"/>
    </xf>
    <xf numFmtId="164" fontId="46" fillId="0" borderId="16" xfId="7" applyNumberFormat="1" applyFont="1" applyBorder="1" applyAlignment="1">
      <alignment vertical="center"/>
    </xf>
    <xf numFmtId="0" fontId="12" fillId="24" borderId="33" xfId="7" applyNumberFormat="1" applyFont="1" applyFill="1" applyBorder="1" applyAlignment="1">
      <alignment vertical="center"/>
    </xf>
    <xf numFmtId="0" fontId="12" fillId="24" borderId="34" xfId="7" applyNumberFormat="1" applyFont="1" applyFill="1" applyBorder="1" applyAlignment="1">
      <alignment vertical="center"/>
    </xf>
    <xf numFmtId="0" fontId="46" fillId="11" borderId="16" xfId="9" applyNumberFormat="1" applyFont="1" applyFill="1" applyBorder="1" applyAlignment="1">
      <alignment vertical="center" wrapText="1"/>
    </xf>
    <xf numFmtId="44" fontId="46" fillId="11" borderId="16" xfId="7" applyNumberFormat="1" applyFont="1" applyFill="1" applyBorder="1" applyAlignment="1">
      <alignment vertical="center"/>
    </xf>
    <xf numFmtId="0" fontId="13" fillId="9" borderId="16" xfId="9" applyNumberFormat="1" applyFont="1" applyFill="1" applyBorder="1" applyAlignment="1">
      <alignment vertical="center" wrapText="1"/>
    </xf>
    <xf numFmtId="164" fontId="13" fillId="9" borderId="16" xfId="7" applyNumberFormat="1" applyFont="1" applyFill="1" applyBorder="1" applyAlignment="1">
      <alignment vertical="center"/>
    </xf>
    <xf numFmtId="0" fontId="63" fillId="0" borderId="0" xfId="33" applyFont="1">
      <alignment wrapText="1"/>
    </xf>
    <xf numFmtId="170" fontId="0" fillId="0" borderId="0" xfId="63" applyNumberFormat="1" applyFont="1">
      <alignment horizontal="right" vertical="center"/>
    </xf>
    <xf numFmtId="0" fontId="0" fillId="0" borderId="0" xfId="65" applyFont="1">
      <alignment vertical="center" wrapText="1"/>
    </xf>
    <xf numFmtId="166" fontId="0" fillId="0" borderId="0" xfId="66" applyFont="1">
      <alignment horizontal="left" vertical="top"/>
    </xf>
    <xf numFmtId="0" fontId="66" fillId="0" borderId="0" xfId="67"/>
    <xf numFmtId="0" fontId="95" fillId="0" borderId="0" xfId="68" applyFont="1">
      <alignment horizontal="right" vertical="top" wrapText="1"/>
    </xf>
    <xf numFmtId="0" fontId="66" fillId="0" borderId="0" xfId="68" applyFont="1">
      <alignment horizontal="right" vertical="top" wrapText="1"/>
    </xf>
    <xf numFmtId="0" fontId="0" fillId="0" borderId="0" xfId="69" applyFont="1">
      <alignment horizontal="right" wrapText="1"/>
    </xf>
    <xf numFmtId="0" fontId="66" fillId="0" borderId="0" xfId="69" applyFont="1">
      <alignment horizontal="right" wrapText="1"/>
    </xf>
    <xf numFmtId="0" fontId="72" fillId="0" borderId="0" xfId="70">
      <alignment vertical="top" wrapText="1"/>
    </xf>
    <xf numFmtId="0" fontId="96" fillId="0" borderId="0" xfId="71"/>
    <xf numFmtId="14" fontId="0" fillId="0" borderId="0" xfId="69" applyNumberFormat="1" applyFont="1">
      <alignment horizontal="right" wrapText="1"/>
    </xf>
    <xf numFmtId="0" fontId="63" fillId="25" borderId="0" xfId="33" applyFont="1" applyFill="1" applyBorder="1" applyAlignment="1">
      <alignment vertical="center"/>
    </xf>
    <xf numFmtId="0" fontId="14" fillId="25" borderId="0" xfId="33" applyFont="1" applyFill="1" applyBorder="1" applyAlignment="1">
      <alignment horizontal="center" vertical="center"/>
    </xf>
    <xf numFmtId="170" fontId="13" fillId="0" borderId="0" xfId="63" applyNumberFormat="1" applyFont="1">
      <alignment horizontal="right" vertical="center"/>
    </xf>
    <xf numFmtId="0" fontId="63" fillId="0" borderId="36" xfId="33" applyBorder="1">
      <alignment wrapText="1"/>
    </xf>
    <xf numFmtId="0" fontId="97" fillId="0" borderId="0" xfId="72">
      <alignment horizontal="left" vertical="center" wrapText="1" indent="1"/>
    </xf>
    <xf numFmtId="0" fontId="13" fillId="0" borderId="0" xfId="73">
      <alignment horizontal="center" wrapText="1"/>
    </xf>
    <xf numFmtId="0" fontId="63" fillId="0" borderId="0" xfId="75">
      <alignment vertical="top"/>
    </xf>
    <xf numFmtId="166" fontId="63" fillId="0" borderId="0" xfId="42">
      <alignment horizontal="left"/>
    </xf>
    <xf numFmtId="0" fontId="66" fillId="0" borderId="0" xfId="76"/>
    <xf numFmtId="167" fontId="63" fillId="0" borderId="0" xfId="77" applyNumberFormat="1">
      <alignment horizontal="right" indent="1"/>
    </xf>
    <xf numFmtId="14" fontId="97" fillId="0" borderId="0" xfId="72" applyNumberFormat="1">
      <alignment horizontal="left" vertical="center" wrapText="1" indent="1"/>
    </xf>
    <xf numFmtId="0" fontId="97" fillId="26" borderId="38" xfId="72" applyNumberFormat="1" applyFont="1" applyFill="1" applyBorder="1" applyAlignment="1">
      <alignment horizontal="left" vertical="center" wrapText="1" indent="1"/>
    </xf>
    <xf numFmtId="0" fontId="97" fillId="26" borderId="39" xfId="72" applyNumberFormat="1" applyFont="1" applyFill="1" applyBorder="1" applyAlignment="1">
      <alignment horizontal="left" vertical="center" wrapText="1" indent="1"/>
    </xf>
    <xf numFmtId="0" fontId="97" fillId="11" borderId="40" xfId="72" applyNumberFormat="1" applyFont="1" applyFill="1" applyBorder="1" applyAlignment="1">
      <alignment horizontal="left" vertical="center" wrapText="1" indent="1"/>
    </xf>
    <xf numFmtId="170" fontId="0" fillId="11" borderId="41" xfId="74" applyNumberFormat="1" applyFont="1" applyFill="1" applyBorder="1" applyAlignment="1">
      <alignment horizontal="left" vertical="center" wrapText="1" indent="1"/>
    </xf>
    <xf numFmtId="0" fontId="97" fillId="11" borderId="38" xfId="72" applyNumberFormat="1" applyFont="1" applyFill="1" applyBorder="1" applyAlignment="1">
      <alignment horizontal="left" vertical="center" wrapText="1" indent="1"/>
    </xf>
    <xf numFmtId="170" fontId="0" fillId="11" borderId="39" xfId="74" applyNumberFormat="1" applyFont="1" applyFill="1" applyBorder="1" applyAlignment="1">
      <alignment horizontal="left" vertical="center" wrapText="1" indent="1"/>
    </xf>
    <xf numFmtId="0" fontId="97" fillId="11" borderId="44" xfId="72" applyNumberFormat="1" applyFont="1" applyFill="1" applyBorder="1" applyAlignment="1">
      <alignment horizontal="left" vertical="center" wrapText="1" indent="1"/>
    </xf>
    <xf numFmtId="170" fontId="0" fillId="11" borderId="43" xfId="74" applyNumberFormat="1" applyFont="1" applyFill="1" applyBorder="1" applyAlignment="1">
      <alignment horizontal="left" vertical="center" wrapText="1" indent="1"/>
    </xf>
    <xf numFmtId="0" fontId="28" fillId="0" borderId="42" xfId="0" applyNumberFormat="1" applyFont="1" applyBorder="1" applyAlignment="1">
      <alignment horizontal="right" vertical="center" wrapText="1" indent="1"/>
    </xf>
    <xf numFmtId="0" fontId="99" fillId="0" borderId="42" xfId="0" applyNumberFormat="1" applyFont="1" applyBorder="1" applyAlignment="1">
      <alignment horizontal="right" vertical="center" wrapText="1" indent="1"/>
    </xf>
    <xf numFmtId="170" fontId="13" fillId="0" borderId="37" xfId="74" applyNumberFormat="1" applyFont="1" applyBorder="1" applyAlignment="1">
      <alignment horizontal="left" vertical="center" wrapText="1" indent="1"/>
    </xf>
    <xf numFmtId="170" fontId="10" fillId="0" borderId="37" xfId="74" applyNumberFormat="1" applyFont="1" applyBorder="1" applyAlignment="1">
      <alignment horizontal="left" vertical="center" wrapText="1" indent="1"/>
    </xf>
    <xf numFmtId="0" fontId="19" fillId="0" borderId="0" xfId="65" applyFont="1" applyAlignment="1">
      <alignment horizontal="left" vertical="center" wrapText="1"/>
    </xf>
    <xf numFmtId="0" fontId="19" fillId="0" borderId="0" xfId="65" applyFont="1">
      <alignment vertical="center" wrapText="1"/>
    </xf>
    <xf numFmtId="170" fontId="19" fillId="0" borderId="0" xfId="63" applyNumberFormat="1" applyFont="1">
      <alignment horizontal="right" vertical="center"/>
    </xf>
    <xf numFmtId="170" fontId="10" fillId="0" borderId="35" xfId="63" applyNumberFormat="1" applyFont="1" applyBorder="1">
      <alignment horizontal="right" vertical="center"/>
    </xf>
    <xf numFmtId="0" fontId="99" fillId="0" borderId="32" xfId="33" applyFont="1" applyBorder="1" applyAlignment="1">
      <alignment horizontal="right" vertical="center" wrapText="1"/>
    </xf>
    <xf numFmtId="0" fontId="1" fillId="0" borderId="0" xfId="80"/>
    <xf numFmtId="44" fontId="1" fillId="0" borderId="0" xfId="80" applyNumberFormat="1"/>
    <xf numFmtId="8" fontId="103" fillId="31" borderId="32" xfId="80" applyNumberFormat="1" applyFont="1" applyFill="1" applyBorder="1"/>
    <xf numFmtId="0" fontId="104" fillId="29" borderId="32" xfId="80" applyFont="1" applyFill="1" applyBorder="1"/>
    <xf numFmtId="44" fontId="103" fillId="31" borderId="32" xfId="80" applyNumberFormat="1" applyFont="1" applyFill="1" applyBorder="1"/>
    <xf numFmtId="44" fontId="105" fillId="28" borderId="32" xfId="80" applyNumberFormat="1" applyFont="1" applyFill="1" applyBorder="1" applyAlignment="1">
      <alignment horizontal="center"/>
    </xf>
    <xf numFmtId="0" fontId="105" fillId="28" borderId="32" xfId="80" applyFont="1" applyFill="1" applyBorder="1" applyAlignment="1">
      <alignment horizontal="center"/>
    </xf>
    <xf numFmtId="44" fontId="106" fillId="32" borderId="32" xfId="80" applyNumberFormat="1" applyFont="1" applyFill="1" applyBorder="1" applyAlignment="1">
      <alignment horizontal="center"/>
    </xf>
    <xf numFmtId="44" fontId="103" fillId="33" borderId="32" xfId="80" applyNumberFormat="1" applyFont="1" applyFill="1" applyBorder="1" applyAlignment="1"/>
    <xf numFmtId="172" fontId="103" fillId="33" borderId="32" xfId="80" applyNumberFormat="1" applyFont="1" applyFill="1" applyBorder="1" applyAlignment="1"/>
    <xf numFmtId="0" fontId="107" fillId="29" borderId="32" xfId="80" applyFont="1" applyFill="1" applyBorder="1"/>
    <xf numFmtId="44" fontId="103" fillId="35" borderId="32" xfId="80" applyNumberFormat="1" applyFont="1" applyFill="1" applyBorder="1" applyAlignment="1"/>
    <xf numFmtId="0" fontId="91" fillId="0" borderId="0" xfId="61">
      <alignment horizontal="right"/>
    </xf>
    <xf numFmtId="44" fontId="103" fillId="36" borderId="32" xfId="80" applyNumberFormat="1" applyFont="1" applyFill="1" applyBorder="1" applyAlignment="1"/>
    <xf numFmtId="0" fontId="91" fillId="0" borderId="0" xfId="61">
      <alignment horizontal="right"/>
    </xf>
    <xf numFmtId="0" fontId="0" fillId="0" borderId="55" xfId="55" applyFont="1" applyBorder="1" applyAlignment="1">
      <alignment horizontal="center" vertical="center"/>
    </xf>
    <xf numFmtId="0" fontId="0" fillId="11" borderId="56" xfId="55" applyFont="1" applyFill="1" applyBorder="1" applyAlignment="1">
      <alignment horizontal="center" vertical="center"/>
    </xf>
    <xf numFmtId="44" fontId="110" fillId="41" borderId="57" xfId="50" applyFont="1" applyFill="1" applyBorder="1">
      <alignment horizontal="right" vertical="center"/>
    </xf>
    <xf numFmtId="0" fontId="63" fillId="0" borderId="0" xfId="48" applyNumberFormat="1" applyFont="1" applyBorder="1" applyAlignment="1">
      <alignment horizontal="left" vertical="center" wrapText="1"/>
    </xf>
    <xf numFmtId="44" fontId="0" fillId="0" borderId="0" xfId="50" applyNumberFormat="1" applyFont="1" applyFill="1" applyBorder="1" applyAlignment="1">
      <alignment horizontal="right" vertical="center"/>
    </xf>
    <xf numFmtId="44" fontId="0" fillId="43" borderId="54" xfId="50" applyNumberFormat="1" applyFont="1" applyFill="1" applyBorder="1" applyAlignment="1">
      <alignment horizontal="right" vertical="center"/>
    </xf>
    <xf numFmtId="0" fontId="28" fillId="42" borderId="58" xfId="48" applyNumberFormat="1" applyFont="1" applyFill="1" applyBorder="1" applyAlignment="1">
      <alignment horizontal="left" vertical="center" wrapText="1"/>
    </xf>
    <xf numFmtId="0" fontId="99" fillId="0" borderId="32" xfId="48" applyFont="1" applyBorder="1" applyAlignment="1">
      <alignment horizontal="right" vertical="center" wrapText="1"/>
    </xf>
    <xf numFmtId="44" fontId="9" fillId="0" borderId="32" xfId="48" applyNumberFormat="1" applyFont="1" applyBorder="1">
      <alignment horizontal="left" vertical="center" wrapText="1"/>
    </xf>
    <xf numFmtId="0" fontId="1" fillId="0" borderId="0" xfId="81">
      <alignment horizontal="left" wrapText="1"/>
    </xf>
    <xf numFmtId="0" fontId="114" fillId="0" borderId="0" xfId="86">
      <alignment horizontal="right" indent="1"/>
    </xf>
    <xf numFmtId="0" fontId="1" fillId="0" borderId="0" xfId="81" applyAlignment="1">
      <alignment horizontal="center" vertical="center" wrapText="1"/>
    </xf>
    <xf numFmtId="0" fontId="12" fillId="27" borderId="60" xfId="81" applyFont="1" applyFill="1" applyBorder="1" applyAlignment="1">
      <alignment horizontal="center" vertical="center" wrapText="1"/>
    </xf>
    <xf numFmtId="0" fontId="100" fillId="0" borderId="0" xfId="81" applyFont="1">
      <alignment horizontal="left" wrapText="1"/>
    </xf>
    <xf numFmtId="164" fontId="115" fillId="0" borderId="60" xfId="82" applyFont="1" applyBorder="1">
      <alignment horizontal="right"/>
    </xf>
    <xf numFmtId="0" fontId="0" fillId="0" borderId="0" xfId="81" applyFont="1" applyBorder="1" applyAlignment="1">
      <alignment wrapText="1"/>
    </xf>
    <xf numFmtId="0" fontId="100" fillId="0" borderId="59" xfId="81" applyFont="1" applyBorder="1" applyAlignment="1">
      <alignment wrapText="1"/>
    </xf>
    <xf numFmtId="164" fontId="19" fillId="0" borderId="59" xfId="82" applyFont="1" applyBorder="1">
      <alignment horizontal="right"/>
    </xf>
    <xf numFmtId="164" fontId="115" fillId="0" borderId="59" xfId="82" applyFont="1" applyBorder="1">
      <alignment horizontal="right"/>
    </xf>
    <xf numFmtId="164" fontId="10" fillId="0" borderId="59" xfId="82" applyFont="1" applyBorder="1">
      <alignment horizontal="right"/>
    </xf>
    <xf numFmtId="164" fontId="7" fillId="0" borderId="59" xfId="82" applyFont="1" applyBorder="1">
      <alignment horizontal="right"/>
    </xf>
    <xf numFmtId="0" fontId="114" fillId="0" borderId="0" xfId="86" applyAlignment="1">
      <alignment horizontal="left"/>
    </xf>
    <xf numFmtId="14" fontId="0" fillId="0" borderId="0" xfId="87" applyNumberFormat="1" applyFont="1">
      <alignment horizontal="right"/>
    </xf>
    <xf numFmtId="0" fontId="0" fillId="0" borderId="0" xfId="87" applyNumberFormat="1" applyFont="1">
      <alignment horizontal="right"/>
    </xf>
    <xf numFmtId="44" fontId="63" fillId="0" borderId="54" xfId="50" applyBorder="1">
      <alignment horizontal="right" vertical="center"/>
    </xf>
    <xf numFmtId="0" fontId="116" fillId="0" borderId="0" xfId="48" applyFont="1">
      <alignment horizontal="left" vertical="center" wrapText="1"/>
    </xf>
    <xf numFmtId="44" fontId="1" fillId="43" borderId="56" xfId="50" applyFont="1" applyFill="1" applyBorder="1">
      <alignment horizontal="right" vertical="center"/>
    </xf>
    <xf numFmtId="0" fontId="1" fillId="42" borderId="55" xfId="48" applyFont="1" applyFill="1" applyBorder="1">
      <alignment horizontal="left" vertical="center" wrapText="1"/>
    </xf>
    <xf numFmtId="0" fontId="1" fillId="11" borderId="56" xfId="55" applyFont="1" applyFill="1" applyBorder="1">
      <alignment horizontal="center" vertical="center"/>
    </xf>
    <xf numFmtId="0" fontId="1" fillId="0" borderId="55" xfId="55" applyFont="1" applyBorder="1">
      <alignment horizontal="center" vertical="center"/>
    </xf>
    <xf numFmtId="44" fontId="66" fillId="0" borderId="54" xfId="50" applyFont="1" applyBorder="1">
      <alignment horizontal="right" vertical="center"/>
    </xf>
    <xf numFmtId="44" fontId="99" fillId="0" borderId="54" xfId="50" applyFont="1" applyBorder="1">
      <alignment horizontal="right" vertical="center"/>
    </xf>
    <xf numFmtId="44" fontId="9" fillId="41" borderId="61" xfId="50" applyFont="1" applyFill="1" applyBorder="1">
      <alignment horizontal="right" vertical="center"/>
    </xf>
    <xf numFmtId="44" fontId="117" fillId="41" borderId="61" xfId="50" applyFont="1" applyFill="1" applyBorder="1">
      <alignment horizontal="right" vertical="center"/>
    </xf>
    <xf numFmtId="0" fontId="63" fillId="0" borderId="0" xfId="88">
      <alignment horizontal="left" vertical="center" wrapText="1" indent="1"/>
    </xf>
    <xf numFmtId="0" fontId="63" fillId="0" borderId="0" xfId="88" applyAlignment="1">
      <alignment horizontal="right" vertical="center" wrapText="1" indent="1"/>
    </xf>
    <xf numFmtId="0" fontId="27" fillId="0" borderId="0" xfId="88" applyFont="1">
      <alignment horizontal="left" vertical="center" wrapText="1" indent="1"/>
    </xf>
    <xf numFmtId="0" fontId="7" fillId="0" borderId="0" xfId="88" applyFont="1">
      <alignment horizontal="left" vertical="center" wrapText="1" indent="1"/>
    </xf>
    <xf numFmtId="0" fontId="19" fillId="0" borderId="0" xfId="96" applyFont="1" applyAlignment="1">
      <alignment horizontal="right" vertical="center" wrapText="1"/>
    </xf>
    <xf numFmtId="0" fontId="119" fillId="0" borderId="0" xfId="97" applyFont="1" applyAlignment="1">
      <alignment horizontal="center" vertical="center"/>
    </xf>
    <xf numFmtId="0" fontId="122" fillId="0" borderId="0" xfId="98" applyFont="1" applyAlignment="1">
      <alignment horizontal="center" vertical="center"/>
    </xf>
    <xf numFmtId="166" fontId="7" fillId="0" borderId="0" xfId="99" applyFont="1" applyAlignment="1">
      <alignment horizontal="left" vertical="center"/>
    </xf>
    <xf numFmtId="0" fontId="19" fillId="0" borderId="0" xfId="96" applyFont="1" applyAlignment="1">
      <alignment horizontal="left" vertical="center" wrapText="1"/>
    </xf>
    <xf numFmtId="0" fontId="27" fillId="0" borderId="0" xfId="95" applyFont="1" applyAlignment="1"/>
    <xf numFmtId="0" fontId="7" fillId="0" borderId="0" xfId="95" applyFont="1" applyAlignment="1">
      <alignment horizontal="left" vertical="center"/>
    </xf>
    <xf numFmtId="0" fontId="7" fillId="0" borderId="0" xfId="88" applyFont="1" applyAlignment="1">
      <alignment horizontal="right" vertical="center" wrapText="1"/>
    </xf>
    <xf numFmtId="0" fontId="27" fillId="0" borderId="0" xfId="99" applyNumberFormat="1" applyFont="1" applyAlignment="1"/>
    <xf numFmtId="0" fontId="28" fillId="0" borderId="0" xfId="96" applyFont="1" applyAlignment="1">
      <alignment horizontal="right" vertical="center" wrapText="1"/>
    </xf>
    <xf numFmtId="0" fontId="63" fillId="0" borderId="32" xfId="88" applyBorder="1">
      <alignment horizontal="left" vertical="center" wrapText="1" indent="1"/>
    </xf>
    <xf numFmtId="0" fontId="7" fillId="0" borderId="66" xfId="94" applyFont="1" applyBorder="1" applyAlignment="1">
      <alignment horizontal="left" vertical="center" wrapText="1"/>
    </xf>
    <xf numFmtId="0" fontId="99" fillId="0" borderId="32" xfId="88" applyFont="1" applyBorder="1">
      <alignment horizontal="left" vertical="center" wrapText="1" indent="1"/>
    </xf>
    <xf numFmtId="164" fontId="63" fillId="0" borderId="32" xfId="88" applyNumberFormat="1" applyBorder="1">
      <alignment horizontal="left" vertical="center" wrapText="1" indent="1"/>
    </xf>
    <xf numFmtId="164" fontId="1" fillId="0" borderId="32" xfId="88" applyNumberFormat="1" applyFont="1" applyBorder="1">
      <alignment horizontal="left" vertical="center" wrapText="1" indent="1"/>
    </xf>
    <xf numFmtId="164" fontId="115" fillId="0" borderId="32" xfId="88" applyNumberFormat="1" applyFont="1" applyBorder="1">
      <alignment horizontal="left" vertical="center" wrapText="1" indent="1"/>
    </xf>
    <xf numFmtId="0" fontId="66" fillId="14" borderId="32" xfId="88" applyFont="1" applyFill="1" applyBorder="1">
      <alignment horizontal="left" vertical="center" wrapText="1" indent="1"/>
    </xf>
    <xf numFmtId="44" fontId="106" fillId="0" borderId="0" xfId="1" applyFont="1" applyAlignment="1">
      <alignment horizontal="center" vertical="center"/>
    </xf>
    <xf numFmtId="44" fontId="0" fillId="0" borderId="0" xfId="1" applyFont="1"/>
    <xf numFmtId="44" fontId="106" fillId="38" borderId="49" xfId="1" applyFont="1" applyFill="1" applyBorder="1" applyAlignment="1">
      <alignment horizontal="center" vertical="center"/>
    </xf>
    <xf numFmtId="44" fontId="108" fillId="9" borderId="0" xfId="1" applyFont="1" applyFill="1" applyAlignment="1">
      <alignment horizontal="center"/>
    </xf>
    <xf numFmtId="44" fontId="109" fillId="38" borderId="50" xfId="1" applyFont="1" applyFill="1" applyBorder="1" applyAlignment="1">
      <alignment horizontal="left" vertical="center"/>
    </xf>
    <xf numFmtId="44" fontId="7" fillId="39" borderId="0" xfId="1" applyFont="1" applyFill="1"/>
    <xf numFmtId="44" fontId="109" fillId="38" borderId="51" xfId="1" applyFont="1" applyFill="1" applyBorder="1" applyAlignment="1">
      <alignment horizontal="left" vertical="center"/>
    </xf>
    <xf numFmtId="44" fontId="109" fillId="38" borderId="52" xfId="1" applyFont="1" applyFill="1" applyBorder="1" applyAlignment="1">
      <alignment horizontal="left" vertical="center"/>
    </xf>
    <xf numFmtId="44" fontId="109" fillId="0" borderId="51" xfId="1" applyFont="1" applyBorder="1" applyAlignment="1">
      <alignment horizontal="left" vertical="center"/>
    </xf>
    <xf numFmtId="44" fontId="125" fillId="44" borderId="70" xfId="1" applyFont="1" applyFill="1" applyBorder="1" applyAlignment="1">
      <alignment horizontal="center" vertical="center"/>
    </xf>
    <xf numFmtId="44" fontId="7" fillId="39" borderId="70" xfId="1" applyFont="1" applyFill="1" applyBorder="1"/>
    <xf numFmtId="44" fontId="101" fillId="45" borderId="71" xfId="1" applyFont="1" applyFill="1" applyBorder="1" applyAlignment="1">
      <alignment horizontal="right"/>
    </xf>
    <xf numFmtId="44" fontId="124" fillId="46" borderId="70" xfId="1" applyFont="1" applyFill="1" applyBorder="1"/>
    <xf numFmtId="0" fontId="126" fillId="47" borderId="0" xfId="0" applyFont="1" applyFill="1"/>
    <xf numFmtId="0" fontId="126" fillId="11" borderId="72" xfId="0" applyFont="1" applyFill="1" applyBorder="1"/>
    <xf numFmtId="0" fontId="126" fillId="11" borderId="46" xfId="0" applyFont="1" applyFill="1" applyBorder="1"/>
    <xf numFmtId="0" fontId="126" fillId="11" borderId="73" xfId="0" applyFont="1" applyFill="1" applyBorder="1"/>
    <xf numFmtId="0" fontId="126" fillId="11" borderId="74" xfId="0" applyFont="1" applyFill="1" applyBorder="1"/>
    <xf numFmtId="0" fontId="126" fillId="11" borderId="0" xfId="0" applyFont="1" applyFill="1"/>
    <xf numFmtId="0" fontId="127" fillId="11" borderId="0" xfId="0" applyFont="1" applyFill="1"/>
    <xf numFmtId="4" fontId="128" fillId="11" borderId="0" xfId="0" applyNumberFormat="1" applyFont="1" applyFill="1"/>
    <xf numFmtId="0" fontId="129" fillId="11" borderId="0" xfId="0" applyFont="1" applyFill="1" applyAlignment="1">
      <alignment horizontal="right"/>
    </xf>
    <xf numFmtId="0" fontId="130" fillId="11" borderId="46" xfId="0" applyFont="1" applyFill="1" applyBorder="1" applyAlignment="1">
      <alignment horizontal="center"/>
    </xf>
    <xf numFmtId="4" fontId="130" fillId="11" borderId="46" xfId="0" applyNumberFormat="1" applyFont="1" applyFill="1" applyBorder="1" applyAlignment="1">
      <alignment horizontal="center"/>
    </xf>
    <xf numFmtId="0" fontId="126" fillId="11" borderId="75" xfId="0" applyFont="1" applyFill="1" applyBorder="1"/>
    <xf numFmtId="4" fontId="131" fillId="11" borderId="46" xfId="0" applyNumberFormat="1" applyFont="1" applyFill="1" applyBorder="1"/>
    <xf numFmtId="10" fontId="127" fillId="11" borderId="0" xfId="0" applyNumberFormat="1" applyFont="1" applyFill="1"/>
    <xf numFmtId="0" fontId="130" fillId="11" borderId="0" xfId="0" applyFont="1" applyFill="1" applyAlignment="1">
      <alignment horizontal="center"/>
    </xf>
    <xf numFmtId="4" fontId="131" fillId="11" borderId="75" xfId="0" applyNumberFormat="1" applyFont="1" applyFill="1" applyBorder="1"/>
    <xf numFmtId="0" fontId="127" fillId="11" borderId="75" xfId="0" applyFont="1" applyFill="1" applyBorder="1"/>
    <xf numFmtId="0" fontId="130" fillId="11" borderId="0" xfId="0" applyFont="1" applyFill="1"/>
    <xf numFmtId="4" fontId="131" fillId="11" borderId="0" xfId="0" applyNumberFormat="1" applyFont="1" applyFill="1"/>
    <xf numFmtId="0" fontId="132" fillId="11" borderId="0" xfId="0" applyFont="1" applyFill="1"/>
    <xf numFmtId="0" fontId="127" fillId="11" borderId="0" xfId="0" applyFont="1" applyFill="1" applyAlignment="1">
      <alignment horizontal="center"/>
    </xf>
    <xf numFmtId="0" fontId="127" fillId="11" borderId="0" xfId="0" applyFont="1" applyFill="1" applyAlignment="1">
      <alignment horizontal="center" vertical="center"/>
    </xf>
    <xf numFmtId="0" fontId="126" fillId="11" borderId="76" xfId="0" applyFont="1" applyFill="1" applyBorder="1"/>
    <xf numFmtId="0" fontId="130" fillId="11" borderId="77" xfId="0" applyFont="1" applyFill="1" applyBorder="1"/>
    <xf numFmtId="0" fontId="133" fillId="11" borderId="77" xfId="0" applyFont="1" applyFill="1" applyBorder="1"/>
    <xf numFmtId="0" fontId="134" fillId="11" borderId="0" xfId="0" applyFont="1" applyFill="1"/>
    <xf numFmtId="0" fontId="131" fillId="11" borderId="46" xfId="0" applyFont="1" applyFill="1" applyBorder="1" applyAlignment="1">
      <alignment horizontal="center"/>
    </xf>
    <xf numFmtId="0" fontId="131" fillId="11" borderId="0" xfId="0" applyFont="1" applyFill="1" applyAlignment="1">
      <alignment horizontal="center"/>
    </xf>
    <xf numFmtId="0" fontId="137" fillId="11" borderId="0" xfId="0" applyFont="1" applyFill="1"/>
    <xf numFmtId="0" fontId="138" fillId="11" borderId="0" xfId="0" applyFont="1" applyFill="1"/>
    <xf numFmtId="4" fontId="136" fillId="11" borderId="46" xfId="0" applyNumberFormat="1" applyFont="1" applyFill="1" applyBorder="1"/>
    <xf numFmtId="0" fontId="139" fillId="11" borderId="77" xfId="0" applyFont="1" applyFill="1" applyBorder="1" applyAlignment="1">
      <alignment horizontal="center"/>
    </xf>
    <xf numFmtId="0" fontId="126" fillId="11" borderId="77" xfId="0" applyFont="1" applyFill="1" applyBorder="1"/>
    <xf numFmtId="0" fontId="127" fillId="11" borderId="77" xfId="0" applyFont="1" applyFill="1" applyBorder="1"/>
    <xf numFmtId="0" fontId="138" fillId="11" borderId="77" xfId="0" applyFont="1" applyFill="1" applyBorder="1"/>
    <xf numFmtId="0" fontId="126" fillId="11" borderId="82" xfId="0" applyFont="1" applyFill="1" applyBorder="1"/>
    <xf numFmtId="0" fontId="131" fillId="11" borderId="69" xfId="0" applyFont="1" applyFill="1" applyBorder="1" applyAlignment="1">
      <alignment horizontal="center"/>
    </xf>
    <xf numFmtId="4" fontId="131" fillId="11" borderId="69" xfId="0" applyNumberFormat="1" applyFont="1" applyFill="1" applyBorder="1" applyAlignment="1">
      <alignment horizontal="center"/>
    </xf>
    <xf numFmtId="0" fontId="126" fillId="11" borderId="77" xfId="0" applyFont="1" applyFill="1" applyBorder="1" applyAlignment="1">
      <alignment horizontal="center"/>
    </xf>
    <xf numFmtId="0" fontId="126" fillId="11" borderId="69" xfId="0" applyFont="1" applyFill="1" applyBorder="1"/>
    <xf numFmtId="0" fontId="131" fillId="11" borderId="69" xfId="0" applyFont="1" applyFill="1" applyBorder="1"/>
    <xf numFmtId="0" fontId="131" fillId="11" borderId="0" xfId="0" applyFont="1" applyFill="1"/>
    <xf numFmtId="44" fontId="0" fillId="48" borderId="48" xfId="0" applyNumberFormat="1" applyFill="1" applyBorder="1"/>
    <xf numFmtId="0" fontId="140" fillId="49" borderId="69" xfId="0" applyFont="1" applyFill="1" applyBorder="1"/>
    <xf numFmtId="0" fontId="106" fillId="0" borderId="0" xfId="0" applyFont="1"/>
    <xf numFmtId="44" fontId="0" fillId="50" borderId="49" xfId="0" applyNumberFormat="1" applyFill="1" applyBorder="1"/>
    <xf numFmtId="0" fontId="0" fillId="50" borderId="74" xfId="0" applyFill="1" applyBorder="1"/>
    <xf numFmtId="0" fontId="106" fillId="51" borderId="83" xfId="0" applyFont="1" applyFill="1" applyBorder="1"/>
    <xf numFmtId="44" fontId="0" fillId="50" borderId="84" xfId="0" applyNumberFormat="1" applyFill="1" applyBorder="1"/>
    <xf numFmtId="0" fontId="0" fillId="50" borderId="76" xfId="0" applyFill="1" applyBorder="1"/>
    <xf numFmtId="0" fontId="106" fillId="51" borderId="85" xfId="0" applyFont="1" applyFill="1" applyBorder="1"/>
    <xf numFmtId="0" fontId="108" fillId="52" borderId="32" xfId="0" applyFont="1" applyFill="1" applyBorder="1" applyAlignment="1">
      <alignment horizontal="center" vertical="center"/>
    </xf>
    <xf numFmtId="44" fontId="0" fillId="48" borderId="32" xfId="0" applyNumberFormat="1" applyFill="1" applyBorder="1"/>
    <xf numFmtId="44" fontId="0" fillId="50" borderId="74" xfId="0" applyNumberFormat="1" applyFill="1" applyBorder="1"/>
    <xf numFmtId="4" fontId="0" fillId="50" borderId="49" xfId="0" applyNumberFormat="1" applyFill="1" applyBorder="1"/>
    <xf numFmtId="4" fontId="0" fillId="50" borderId="84" xfId="0" applyNumberFormat="1" applyFill="1" applyBorder="1"/>
    <xf numFmtId="44" fontId="0" fillId="50" borderId="76" xfId="0" applyNumberFormat="1" applyFill="1" applyBorder="1"/>
    <xf numFmtId="0" fontId="19" fillId="0" borderId="0" xfId="0" applyFont="1" applyAlignment="1">
      <alignment horizontal="center"/>
    </xf>
    <xf numFmtId="0" fontId="19" fillId="52" borderId="32" xfId="0" applyFont="1" applyFill="1" applyBorder="1" applyAlignment="1">
      <alignment horizontal="center"/>
    </xf>
    <xf numFmtId="164" fontId="0" fillId="48" borderId="32" xfId="0" applyNumberFormat="1" applyFill="1" applyBorder="1"/>
    <xf numFmtId="164" fontId="0" fillId="48" borderId="48" xfId="0" applyNumberFormat="1" applyFill="1" applyBorder="1"/>
    <xf numFmtId="164" fontId="0" fillId="50" borderId="49" xfId="0" applyNumberFormat="1" applyFill="1" applyBorder="1"/>
    <xf numFmtId="164" fontId="0" fillId="50" borderId="74" xfId="0" applyNumberFormat="1" applyFill="1" applyBorder="1"/>
    <xf numFmtId="164" fontId="0" fillId="50" borderId="84" xfId="0" applyNumberFormat="1" applyFill="1" applyBorder="1"/>
    <xf numFmtId="164" fontId="0" fillId="50" borderId="76" xfId="0" applyNumberFormat="1" applyFill="1" applyBorder="1"/>
    <xf numFmtId="0" fontId="125" fillId="0" borderId="0" xfId="0" applyFont="1" applyAlignment="1">
      <alignment horizontal="center" vertical="center"/>
    </xf>
    <xf numFmtId="0" fontId="140" fillId="53" borderId="32" xfId="0" applyFont="1" applyFill="1" applyBorder="1" applyAlignment="1">
      <alignment horizontal="center" vertical="center"/>
    </xf>
    <xf numFmtId="44" fontId="7" fillId="55" borderId="0" xfId="1" applyFont="1" applyFill="1"/>
    <xf numFmtId="44" fontId="106" fillId="56" borderId="49" xfId="1" applyFont="1" applyFill="1" applyBorder="1" applyAlignment="1">
      <alignment horizontal="center" vertical="center"/>
    </xf>
    <xf numFmtId="44" fontId="109" fillId="56" borderId="86" xfId="1" applyFont="1" applyFill="1" applyBorder="1" applyAlignment="1">
      <alignment horizontal="center" vertical="center"/>
    </xf>
    <xf numFmtId="44" fontId="108" fillId="57" borderId="0" xfId="1" applyFont="1" applyFill="1" applyAlignment="1">
      <alignment horizontal="center"/>
    </xf>
    <xf numFmtId="44" fontId="109" fillId="56" borderId="87" xfId="1" applyFont="1" applyFill="1" applyBorder="1" applyAlignment="1">
      <alignment horizontal="center" vertical="center"/>
    </xf>
    <xf numFmtId="44" fontId="142" fillId="59" borderId="32" xfId="1" applyFont="1" applyFill="1" applyBorder="1" applyAlignment="1">
      <alignment horizontal="center" vertical="center"/>
    </xf>
    <xf numFmtId="44" fontId="14" fillId="0" borderId="0" xfId="1" applyFont="1" applyAlignment="1">
      <alignment horizontal="center" vertical="center"/>
    </xf>
    <xf numFmtId="44" fontId="115" fillId="60" borderId="88" xfId="1" applyFont="1" applyFill="1" applyBorder="1"/>
    <xf numFmtId="44" fontId="0" fillId="0" borderId="0" xfId="1" applyFont="1" applyAlignment="1">
      <alignment vertical="center"/>
    </xf>
    <xf numFmtId="44" fontId="106" fillId="38" borderId="75" xfId="1" applyFont="1" applyFill="1" applyBorder="1" applyAlignment="1">
      <alignment horizontal="center" vertical="center"/>
    </xf>
    <xf numFmtId="164" fontId="7" fillId="39" borderId="0" xfId="1" applyNumberFormat="1" applyFont="1" applyFill="1"/>
    <xf numFmtId="44" fontId="143" fillId="62" borderId="86" xfId="1" applyFont="1" applyFill="1" applyBorder="1" applyAlignment="1">
      <alignment horizontal="center" vertical="center"/>
    </xf>
    <xf numFmtId="44" fontId="143" fillId="63" borderId="86" xfId="1" applyFont="1" applyFill="1" applyBorder="1" applyAlignment="1">
      <alignment horizontal="center" vertical="center"/>
    </xf>
    <xf numFmtId="44" fontId="108" fillId="54" borderId="70" xfId="1" applyFont="1" applyFill="1" applyBorder="1" applyAlignment="1">
      <alignment horizontal="center" vertical="center"/>
    </xf>
    <xf numFmtId="44" fontId="101" fillId="11" borderId="0" xfId="1" applyFont="1" applyFill="1" applyBorder="1"/>
    <xf numFmtId="44" fontId="0" fillId="0" borderId="0" xfId="0" applyNumberFormat="1"/>
    <xf numFmtId="0" fontId="106" fillId="0" borderId="0" xfId="1" applyNumberFormat="1" applyFont="1" applyAlignment="1">
      <alignment horizontal="center" vertical="center"/>
    </xf>
    <xf numFmtId="0" fontId="106" fillId="56" borderId="0" xfId="1" applyNumberFormat="1" applyFont="1" applyFill="1" applyBorder="1" applyAlignment="1">
      <alignment horizontal="center" vertical="center"/>
    </xf>
    <xf numFmtId="44" fontId="106" fillId="72" borderId="49" xfId="1" applyFont="1" applyFill="1" applyBorder="1" applyAlignment="1">
      <alignment horizontal="center" vertical="center"/>
    </xf>
    <xf numFmtId="44" fontId="145" fillId="11" borderId="0" xfId="1" applyFont="1" applyFill="1" applyBorder="1" applyAlignment="1">
      <alignment horizontal="center"/>
    </xf>
    <xf numFmtId="164" fontId="0" fillId="0" borderId="0" xfId="1" applyNumberFormat="1" applyFont="1"/>
    <xf numFmtId="0" fontId="0" fillId="0" borderId="0" xfId="0" applyNumberFormat="1"/>
    <xf numFmtId="0" fontId="145" fillId="11" borderId="0" xfId="1" applyNumberFormat="1" applyFont="1" applyFill="1" applyBorder="1" applyAlignment="1">
      <alignment horizontal="center"/>
    </xf>
    <xf numFmtId="0" fontId="145" fillId="71" borderId="0" xfId="1" applyNumberFormat="1" applyFont="1" applyFill="1" applyAlignment="1">
      <alignment horizontal="center"/>
    </xf>
    <xf numFmtId="164" fontId="0" fillId="0" borderId="0" xfId="0" applyNumberFormat="1"/>
    <xf numFmtId="0" fontId="103" fillId="74" borderId="0" xfId="0" applyFont="1" applyFill="1"/>
    <xf numFmtId="0" fontId="103" fillId="76" borderId="0" xfId="0" applyFont="1" applyFill="1"/>
    <xf numFmtId="0" fontId="125" fillId="0" borderId="0" xfId="0" applyFont="1"/>
    <xf numFmtId="0" fontId="13" fillId="0" borderId="0" xfId="0" applyFont="1" applyAlignment="1">
      <alignment horizontal="center" vertical="center"/>
    </xf>
    <xf numFmtId="0" fontId="147" fillId="77" borderId="49" xfId="0" applyFont="1" applyFill="1" applyBorder="1" applyAlignment="1">
      <alignment horizontal="center" vertical="center"/>
    </xf>
    <xf numFmtId="0" fontId="147" fillId="75" borderId="49" xfId="0" applyFont="1" applyFill="1" applyBorder="1" applyAlignment="1">
      <alignment horizontal="center" vertical="center"/>
    </xf>
    <xf numFmtId="164" fontId="0" fillId="81" borderId="0" xfId="0" applyNumberFormat="1" applyFill="1" applyAlignment="1">
      <alignment horizontal="center" vertical="center"/>
    </xf>
    <xf numFmtId="44" fontId="147" fillId="64" borderId="86" xfId="1" applyFont="1" applyFill="1" applyBorder="1" applyAlignment="1">
      <alignment horizontal="center" vertical="center"/>
    </xf>
    <xf numFmtId="0" fontId="0" fillId="0" borderId="0" xfId="1" applyNumberFormat="1" applyFont="1"/>
    <xf numFmtId="0" fontId="150" fillId="69" borderId="0" xfId="1" applyNumberFormat="1" applyFont="1" applyFill="1"/>
    <xf numFmtId="0" fontId="142" fillId="62" borderId="0" xfId="1" applyNumberFormat="1" applyFont="1" applyFill="1" applyAlignment="1">
      <alignment horizontal="center"/>
    </xf>
    <xf numFmtId="0" fontId="30" fillId="69" borderId="0" xfId="1" applyNumberFormat="1" applyFont="1" applyFill="1"/>
    <xf numFmtId="0" fontId="146" fillId="0" borderId="0" xfId="1" applyNumberFormat="1" applyFont="1"/>
    <xf numFmtId="0" fontId="142" fillId="63" borderId="0" xfId="1" applyNumberFormat="1" applyFont="1" applyFill="1"/>
    <xf numFmtId="0" fontId="146" fillId="65" borderId="0" xfId="1" applyNumberFormat="1" applyFont="1" applyFill="1"/>
    <xf numFmtId="0" fontId="106" fillId="67" borderId="0" xfId="1" applyNumberFormat="1" applyFont="1" applyFill="1"/>
    <xf numFmtId="0" fontId="106" fillId="66" borderId="0" xfId="1" applyNumberFormat="1" applyFont="1" applyFill="1"/>
    <xf numFmtId="0" fontId="108" fillId="70" borderId="0" xfId="1" applyNumberFormat="1" applyFont="1" applyFill="1"/>
    <xf numFmtId="0" fontId="149" fillId="66" borderId="0" xfId="1" applyNumberFormat="1" applyFont="1" applyFill="1"/>
    <xf numFmtId="164" fontId="151" fillId="68" borderId="0" xfId="1" applyNumberFormat="1" applyFont="1" applyFill="1"/>
    <xf numFmtId="164" fontId="103" fillId="0" borderId="0" xfId="1" applyNumberFormat="1" applyFont="1"/>
    <xf numFmtId="164" fontId="152" fillId="0" borderId="0" xfId="1" applyNumberFormat="1" applyFont="1"/>
    <xf numFmtId="0" fontId="103" fillId="0" borderId="0" xfId="1" applyNumberFormat="1" applyFont="1"/>
    <xf numFmtId="164" fontId="153" fillId="82" borderId="0" xfId="1" applyNumberFormat="1" applyFont="1" applyFill="1"/>
    <xf numFmtId="0" fontId="0" fillId="82" borderId="0" xfId="0" applyFill="1"/>
    <xf numFmtId="0" fontId="0" fillId="82" borderId="0" xfId="0" applyFill="1" applyAlignment="1">
      <alignment horizontal="center" vertical="center"/>
    </xf>
    <xf numFmtId="0" fontId="103" fillId="0" borderId="0" xfId="0" applyFont="1"/>
    <xf numFmtId="0" fontId="103" fillId="82" borderId="46" xfId="0" applyFont="1" applyFill="1" applyBorder="1" applyAlignment="1">
      <alignment horizontal="center" vertical="center"/>
    </xf>
    <xf numFmtId="0" fontId="103" fillId="82" borderId="0" xfId="0" applyFont="1" applyFill="1" applyAlignment="1">
      <alignment horizontal="center" vertical="center"/>
    </xf>
    <xf numFmtId="0" fontId="103" fillId="82" borderId="0" xfId="0" applyFont="1" applyFill="1"/>
    <xf numFmtId="0" fontId="0" fillId="82" borderId="0" xfId="0" applyFill="1" applyBorder="1" applyAlignment="1">
      <alignment horizontal="center" vertical="center"/>
    </xf>
    <xf numFmtId="0" fontId="156" fillId="11" borderId="0" xfId="0" applyFont="1" applyFill="1" applyAlignment="1">
      <alignment horizontal="center" vertical="center"/>
    </xf>
    <xf numFmtId="0" fontId="156" fillId="11" borderId="0" xfId="0" applyFont="1" applyFill="1"/>
    <xf numFmtId="0" fontId="157" fillId="11" borderId="0" xfId="0" applyFont="1" applyFill="1"/>
    <xf numFmtId="2" fontId="155" fillId="11" borderId="0" xfId="0" applyNumberFormat="1" applyFont="1" applyFill="1" applyAlignment="1">
      <alignment horizontal="right"/>
    </xf>
    <xf numFmtId="0" fontId="108" fillId="0" borderId="0" xfId="0" applyFont="1"/>
    <xf numFmtId="0" fontId="154" fillId="11" borderId="0" xfId="0" applyFont="1" applyFill="1"/>
    <xf numFmtId="0" fontId="103" fillId="11" borderId="0" xfId="0" applyFont="1" applyFill="1" applyAlignment="1">
      <alignment horizontal="center" vertical="center"/>
    </xf>
    <xf numFmtId="0" fontId="103" fillId="11" borderId="0" xfId="0" applyFont="1" applyFill="1"/>
    <xf numFmtId="0" fontId="0" fillId="11" borderId="0" xfId="0" applyFill="1"/>
    <xf numFmtId="0" fontId="108" fillId="11" borderId="0" xfId="0" applyFont="1" applyFill="1" applyAlignment="1">
      <alignment vertical="center"/>
    </xf>
    <xf numFmtId="2" fontId="155" fillId="11" borderId="0" xfId="0" applyNumberFormat="1" applyFont="1" applyFill="1" applyAlignment="1">
      <alignment vertical="center"/>
    </xf>
    <xf numFmtId="0" fontId="0" fillId="11" borderId="0" xfId="0" applyFill="1" applyAlignment="1">
      <alignment vertical="top" wrapText="1"/>
    </xf>
    <xf numFmtId="44" fontId="14" fillId="11" borderId="0" xfId="1" applyFont="1" applyFill="1"/>
    <xf numFmtId="44" fontId="158" fillId="11" borderId="0" xfId="1" applyFont="1" applyFill="1" applyAlignment="1">
      <alignment horizontal="center" vertical="center"/>
    </xf>
    <xf numFmtId="0" fontId="144" fillId="21" borderId="31" xfId="40" applyFont="1" applyFill="1" applyBorder="1" applyAlignment="1">
      <alignment horizontal="center" vertical="center"/>
    </xf>
    <xf numFmtId="0" fontId="144" fillId="21" borderId="29" xfId="40" applyFont="1" applyFill="1" applyBorder="1" applyAlignment="1">
      <alignment horizontal="center" vertical="center"/>
    </xf>
    <xf numFmtId="0" fontId="144" fillId="21" borderId="30" xfId="40" applyFont="1" applyFill="1" applyBorder="1" applyAlignment="1">
      <alignment horizontal="center" vertical="center"/>
    </xf>
    <xf numFmtId="0" fontId="70" fillId="0" borderId="31" xfId="33" applyNumberFormat="1" applyFont="1" applyBorder="1" applyAlignment="1">
      <alignment wrapText="1"/>
    </xf>
    <xf numFmtId="0" fontId="70" fillId="0" borderId="29" xfId="33" applyNumberFormat="1" applyFont="1" applyBorder="1" applyAlignment="1">
      <alignment horizontal="left" wrapText="1"/>
    </xf>
    <xf numFmtId="44" fontId="74" fillId="0" borderId="30" xfId="39" applyNumberFormat="1" applyFont="1" applyBorder="1" applyAlignment="1">
      <alignment horizontal="right"/>
    </xf>
    <xf numFmtId="0" fontId="70" fillId="0" borderId="29" xfId="33" applyNumberFormat="1" applyFont="1" applyBorder="1" applyAlignment="1">
      <alignment horizontal="left"/>
    </xf>
    <xf numFmtId="0" fontId="63" fillId="0" borderId="29" xfId="33" applyNumberFormat="1" applyFont="1" applyBorder="1" applyAlignment="1">
      <alignment horizontal="left"/>
    </xf>
    <xf numFmtId="0" fontId="73" fillId="0" borderId="29" xfId="38" applyFont="1" applyBorder="1" applyAlignment="1">
      <alignment horizontal="right" indent="1"/>
    </xf>
    <xf numFmtId="44" fontId="71" fillId="0" borderId="30" xfId="39" applyNumberFormat="1" applyFont="1" applyBorder="1" applyAlignment="1">
      <alignment horizontal="right"/>
    </xf>
    <xf numFmtId="170" fontId="0" fillId="0" borderId="0" xfId="63" applyNumberFormat="1" applyFont="1" applyBorder="1" applyAlignment="1">
      <alignment horizontal="right" vertical="center"/>
    </xf>
    <xf numFmtId="0" fontId="63" fillId="0" borderId="0" xfId="33" applyBorder="1">
      <alignment wrapText="1"/>
    </xf>
    <xf numFmtId="173" fontId="0" fillId="48" borderId="48" xfId="101" applyNumberFormat="1" applyFont="1" applyFill="1" applyBorder="1"/>
    <xf numFmtId="0" fontId="14" fillId="0" borderId="0" xfId="1" applyNumberFormat="1" applyFont="1"/>
    <xf numFmtId="0" fontId="14" fillId="11" borderId="0" xfId="1" applyNumberFormat="1" applyFont="1" applyFill="1" applyBorder="1"/>
    <xf numFmtId="0" fontId="144" fillId="11" borderId="0" xfId="1" applyNumberFormat="1" applyFont="1" applyFill="1" applyBorder="1" applyAlignment="1"/>
    <xf numFmtId="0" fontId="14" fillId="88" borderId="0" xfId="1" applyNumberFormat="1" applyFont="1" applyFill="1"/>
    <xf numFmtId="164" fontId="1" fillId="0" borderId="16" xfId="7" applyNumberFormat="1" applyFont="1" applyBorder="1" applyAlignment="1">
      <alignment vertical="center"/>
    </xf>
    <xf numFmtId="174" fontId="46" fillId="0" borderId="16" xfId="7" applyNumberFormat="1" applyFont="1" applyBorder="1" applyAlignment="1">
      <alignment vertical="center"/>
    </xf>
    <xf numFmtId="0" fontId="3" fillId="4" borderId="2" xfId="0" applyFont="1" applyFill="1" applyBorder="1" applyAlignment="1"/>
    <xf numFmtId="0" fontId="3" fillId="4" borderId="4" xfId="0" applyFont="1" applyFill="1" applyBorder="1" applyAlignment="1"/>
    <xf numFmtId="6" fontId="0" fillId="5" borderId="1" xfId="1" applyNumberFormat="1" applyFont="1" applyFill="1" applyBorder="1" applyAlignment="1">
      <alignment horizontal="center" vertical="center"/>
    </xf>
    <xf numFmtId="8" fontId="0" fillId="5" borderId="1" xfId="1" applyNumberFormat="1" applyFont="1" applyFill="1" applyBorder="1" applyAlignment="1">
      <alignment horizontal="center" vertical="center"/>
    </xf>
    <xf numFmtId="1" fontId="0" fillId="7" borderId="2" xfId="0" applyNumberFormat="1" applyFill="1" applyBorder="1"/>
    <xf numFmtId="44" fontId="10" fillId="14" borderId="0" xfId="1" applyFont="1" applyFill="1" applyAlignment="1">
      <alignment horizontal="center" vertical="center"/>
    </xf>
    <xf numFmtId="0" fontId="4" fillId="14" borderId="0" xfId="0" applyFont="1" applyFill="1"/>
    <xf numFmtId="164" fontId="160" fillId="14" borderId="1" xfId="0" applyNumberFormat="1" applyFont="1" applyFill="1" applyBorder="1"/>
    <xf numFmtId="0" fontId="0" fillId="0" borderId="0" xfId="0" applyAlignment="1"/>
    <xf numFmtId="44" fontId="109" fillId="56" borderId="0" xfId="1" applyFont="1" applyFill="1" applyBorder="1" applyAlignment="1">
      <alignment horizontal="center" vertical="center"/>
    </xf>
    <xf numFmtId="0" fontId="162" fillId="89" borderId="0" xfId="0" applyFont="1" applyFill="1" applyAlignment="1"/>
    <xf numFmtId="164" fontId="163" fillId="88" borderId="0" xfId="0" applyNumberFormat="1" applyFont="1" applyFill="1"/>
    <xf numFmtId="1" fontId="163" fillId="88" borderId="0" xfId="0" applyNumberFormat="1" applyFont="1" applyFill="1"/>
    <xf numFmtId="164" fontId="165" fillId="88" borderId="0" xfId="0" applyNumberFormat="1" applyFont="1" applyFill="1"/>
    <xf numFmtId="175" fontId="1" fillId="0" borderId="0" xfId="7" applyNumberFormat="1">
      <alignment vertical="center"/>
    </xf>
    <xf numFmtId="0" fontId="7" fillId="55" borderId="0" xfId="1" applyNumberFormat="1" applyFont="1" applyFill="1"/>
    <xf numFmtId="164" fontId="7" fillId="78" borderId="49" xfId="1" applyNumberFormat="1" applyFont="1" applyFill="1" applyBorder="1"/>
    <xf numFmtId="164" fontId="148" fillId="80" borderId="0" xfId="0" applyNumberFormat="1" applyFont="1" applyFill="1" applyAlignment="1">
      <alignment horizontal="right"/>
    </xf>
    <xf numFmtId="0" fontId="63" fillId="11" borderId="0" xfId="1" applyNumberFormat="1" applyFont="1" applyFill="1" applyBorder="1"/>
    <xf numFmtId="2" fontId="7" fillId="55" borderId="0" xfId="1" applyNumberFormat="1" applyFont="1" applyFill="1"/>
    <xf numFmtId="164" fontId="63" fillId="11" borderId="0" xfId="1" applyNumberFormat="1" applyFont="1" applyFill="1" applyBorder="1"/>
    <xf numFmtId="2" fontId="63" fillId="0" borderId="0" xfId="1" applyNumberFormat="1" applyFont="1"/>
    <xf numFmtId="0" fontId="11" fillId="2" borderId="1" xfId="0" applyFont="1" applyFill="1" applyBorder="1" applyAlignment="1">
      <alignment horizontal="center"/>
    </xf>
    <xf numFmtId="44" fontId="125" fillId="61" borderId="49" xfId="1" applyFont="1" applyFill="1" applyBorder="1" applyAlignment="1">
      <alignment horizontal="center" vertical="center" wrapText="1"/>
    </xf>
    <xf numFmtId="44" fontId="125" fillId="61" borderId="49" xfId="1" applyFont="1" applyFill="1" applyBorder="1" applyAlignment="1">
      <alignment horizontal="center" vertical="center"/>
    </xf>
    <xf numFmtId="44" fontId="141" fillId="8" borderId="0" xfId="1" applyFont="1" applyFill="1" applyAlignment="1">
      <alignment horizontal="center"/>
    </xf>
    <xf numFmtId="44" fontId="108" fillId="9" borderId="0" xfId="1" applyFont="1" applyFill="1" applyAlignment="1">
      <alignment horizontal="center"/>
    </xf>
    <xf numFmtId="44" fontId="125" fillId="9" borderId="0" xfId="1" applyFont="1" applyFill="1" applyAlignment="1">
      <alignment horizontal="center"/>
    </xf>
    <xf numFmtId="44" fontId="115" fillId="40" borderId="0" xfId="1" applyFont="1" applyFill="1" applyAlignment="1">
      <alignment horizontal="center"/>
    </xf>
    <xf numFmtId="44" fontId="141" fillId="58" borderId="0" xfId="1" applyFont="1" applyFill="1" applyAlignment="1">
      <alignment horizontal="center"/>
    </xf>
    <xf numFmtId="44" fontId="108" fillId="57" borderId="0" xfId="1" applyFont="1" applyFill="1" applyAlignment="1">
      <alignment horizontal="center"/>
    </xf>
    <xf numFmtId="0" fontId="105" fillId="30" borderId="46" xfId="80" applyFont="1" applyFill="1" applyBorder="1" applyAlignment="1">
      <alignment horizontal="center"/>
    </xf>
    <xf numFmtId="0" fontId="102" fillId="34" borderId="47" xfId="80" applyFont="1" applyFill="1" applyBorder="1" applyAlignment="1">
      <alignment horizontal="center"/>
    </xf>
    <xf numFmtId="0" fontId="102" fillId="34" borderId="48" xfId="80" applyFont="1" applyFill="1" applyBorder="1" applyAlignment="1">
      <alignment horizontal="center"/>
    </xf>
    <xf numFmtId="0" fontId="108" fillId="37" borderId="47" xfId="80" applyFont="1" applyFill="1" applyBorder="1" applyAlignment="1">
      <alignment horizontal="center"/>
    </xf>
    <xf numFmtId="0" fontId="108" fillId="37" borderId="48" xfId="80" applyFont="1" applyFill="1" applyBorder="1" applyAlignment="1">
      <alignment horizontal="center"/>
    </xf>
    <xf numFmtId="0" fontId="159" fillId="87" borderId="0" xfId="1" applyNumberFormat="1" applyFont="1" applyFill="1" applyAlignment="1">
      <alignment horizontal="center"/>
    </xf>
    <xf numFmtId="0" fontId="82" fillId="87" borderId="0" xfId="1" applyNumberFormat="1" applyFont="1" applyFill="1" applyAlignment="1">
      <alignment horizontal="center"/>
    </xf>
    <xf numFmtId="44" fontId="145" fillId="73" borderId="0" xfId="1" applyFont="1" applyFill="1" applyAlignment="1">
      <alignment horizontal="center"/>
    </xf>
    <xf numFmtId="44" fontId="145" fillId="75" borderId="0" xfId="1" applyFont="1" applyFill="1" applyAlignment="1">
      <alignment horizontal="center"/>
    </xf>
    <xf numFmtId="0" fontId="142" fillId="79" borderId="89" xfId="0" applyFont="1" applyFill="1" applyBorder="1" applyAlignment="1">
      <alignment horizontal="center"/>
    </xf>
    <xf numFmtId="0" fontId="0" fillId="85" borderId="0" xfId="0" applyFill="1" applyAlignment="1">
      <alignment horizontal="left" vertical="top" wrapText="1"/>
    </xf>
    <xf numFmtId="0" fontId="0" fillId="83" borderId="0" xfId="0" applyFill="1" applyAlignment="1">
      <alignment horizontal="left" vertical="top" wrapText="1"/>
    </xf>
    <xf numFmtId="0" fontId="108" fillId="86" borderId="0" xfId="0" applyFont="1" applyFill="1" applyAlignment="1">
      <alignment horizontal="center" vertical="center"/>
    </xf>
    <xf numFmtId="2" fontId="155" fillId="82" borderId="0" xfId="0" applyNumberFormat="1" applyFont="1" applyFill="1" applyAlignment="1">
      <alignment horizontal="center" vertical="center"/>
    </xf>
    <xf numFmtId="0" fontId="108" fillId="84" borderId="0" xfId="0" applyFont="1" applyFill="1" applyAlignment="1">
      <alignment horizontal="center" vertical="center"/>
    </xf>
    <xf numFmtId="0" fontId="103" fillId="82" borderId="46" xfId="0" applyFont="1" applyFill="1" applyBorder="1" applyAlignment="1">
      <alignment horizontal="center" vertical="center"/>
    </xf>
    <xf numFmtId="0" fontId="103" fillId="82" borderId="77" xfId="0" applyFont="1" applyFill="1" applyBorder="1" applyAlignment="1">
      <alignment horizontal="center" vertical="center"/>
    </xf>
    <xf numFmtId="0" fontId="103" fillId="82" borderId="0" xfId="0" applyFont="1" applyFill="1" applyAlignment="1">
      <alignment horizontal="center" vertical="center"/>
    </xf>
    <xf numFmtId="164" fontId="155" fillId="82" borderId="0" xfId="0" applyNumberFormat="1" applyFont="1" applyFill="1" applyAlignment="1">
      <alignment horizontal="center" vertical="center"/>
    </xf>
    <xf numFmtId="0" fontId="103" fillId="82" borderId="0" xfId="0" applyFont="1" applyFill="1" applyBorder="1" applyAlignment="1">
      <alignment horizontal="center" vertical="center"/>
    </xf>
    <xf numFmtId="0" fontId="7" fillId="0" borderId="0" xfId="94" applyFont="1" applyAlignment="1">
      <alignment horizontal="left" vertical="center" wrapText="1"/>
    </xf>
    <xf numFmtId="0" fontId="66" fillId="14" borderId="32" xfId="88" applyFont="1" applyFill="1" applyBorder="1" applyAlignment="1">
      <alignment horizontal="center" vertical="center" wrapText="1"/>
    </xf>
    <xf numFmtId="0" fontId="123" fillId="0" borderId="68" xfId="98" applyFont="1" applyBorder="1" applyAlignment="1">
      <alignment horizontal="center" vertical="center"/>
    </xf>
    <xf numFmtId="167" fontId="7" fillId="0" borderId="0" xfId="100" applyFont="1" applyAlignment="1">
      <alignment horizontal="left" vertical="center"/>
    </xf>
    <xf numFmtId="0" fontId="7" fillId="0" borderId="0" xfId="95" applyFont="1" applyAlignment="1">
      <alignment horizontal="left" vertical="center"/>
    </xf>
    <xf numFmtId="0" fontId="63" fillId="0" borderId="47" xfId="88" applyBorder="1" applyAlignment="1">
      <alignment horizontal="center" vertical="center" wrapText="1"/>
    </xf>
    <xf numFmtId="0" fontId="63" fillId="0" borderId="69" xfId="88" applyBorder="1" applyAlignment="1">
      <alignment horizontal="center" vertical="center" wrapText="1"/>
    </xf>
    <xf numFmtId="0" fontId="63" fillId="0" borderId="48" xfId="88" applyBorder="1" applyAlignment="1">
      <alignment horizontal="center" vertical="center" wrapText="1"/>
    </xf>
    <xf numFmtId="0" fontId="120" fillId="0" borderId="67" xfId="97" applyFont="1" applyBorder="1" applyAlignment="1">
      <alignment horizontal="center" vertical="center"/>
    </xf>
    <xf numFmtId="0" fontId="63" fillId="0" borderId="0" xfId="48">
      <alignment horizontal="left" vertical="center" wrapText="1"/>
    </xf>
    <xf numFmtId="0" fontId="113" fillId="0" borderId="53" xfId="85">
      <alignment horizontal="center"/>
    </xf>
    <xf numFmtId="0" fontId="112" fillId="0" borderId="0" xfId="84">
      <alignment horizontal="center"/>
    </xf>
    <xf numFmtId="0" fontId="111" fillId="0" borderId="0" xfId="83">
      <alignment horizontal="center" vertical="top"/>
    </xf>
    <xf numFmtId="0" fontId="44" fillId="0" borderId="0" xfId="2" applyFont="1" applyAlignment="1">
      <alignment horizontal="center"/>
    </xf>
    <xf numFmtId="0" fontId="43" fillId="0" borderId="0" xfId="6" applyFont="1">
      <alignment horizontal="right" vertical="center"/>
    </xf>
    <xf numFmtId="0" fontId="41" fillId="0" borderId="14" xfId="5" applyFont="1" applyBorder="1"/>
    <xf numFmtId="0" fontId="36" fillId="0" borderId="0" xfId="4" applyFont="1" applyBorder="1" applyAlignment="1">
      <alignment vertical="top"/>
    </xf>
    <xf numFmtId="0" fontId="50" fillId="0" borderId="0" xfId="18">
      <alignment horizontal="right" vertical="center"/>
    </xf>
    <xf numFmtId="0" fontId="53" fillId="0" borderId="0" xfId="20" applyFont="1">
      <alignment horizontal="center"/>
    </xf>
    <xf numFmtId="0" fontId="62" fillId="0" borderId="0" xfId="32" applyFont="1">
      <alignment horizontal="right"/>
    </xf>
    <xf numFmtId="0" fontId="61" fillId="0" borderId="0" xfId="32">
      <alignment horizontal="right"/>
    </xf>
    <xf numFmtId="0" fontId="58" fillId="0" borderId="0" xfId="28"/>
    <xf numFmtId="0" fontId="76" fillId="0" borderId="0" xfId="41" applyFont="1">
      <alignment vertical="center" wrapText="1"/>
    </xf>
    <xf numFmtId="0" fontId="79" fillId="0" borderId="0" xfId="44" applyFont="1">
      <alignment vertical="top" wrapText="1"/>
    </xf>
    <xf numFmtId="0" fontId="83" fillId="0" borderId="0" xfId="47">
      <alignment horizontal="right" vertical="center"/>
    </xf>
    <xf numFmtId="0" fontId="88" fillId="0" borderId="0" xfId="41" applyFont="1">
      <alignment vertical="center" wrapText="1"/>
    </xf>
    <xf numFmtId="0" fontId="89" fillId="0" borderId="0" xfId="44" applyFont="1">
      <alignment vertical="top" wrapText="1"/>
    </xf>
    <xf numFmtId="0" fontId="90" fillId="0" borderId="0" xfId="47" applyFont="1">
      <alignment horizontal="right" vertical="center"/>
    </xf>
    <xf numFmtId="0" fontId="93" fillId="0" borderId="0" xfId="61" applyFont="1">
      <alignment horizontal="right"/>
    </xf>
    <xf numFmtId="0" fontId="91" fillId="0" borderId="0" xfId="61">
      <alignment horizontal="right"/>
    </xf>
    <xf numFmtId="0" fontId="63" fillId="0" borderId="0" xfId="33">
      <alignment wrapText="1"/>
    </xf>
    <xf numFmtId="0" fontId="98" fillId="0" borderId="0" xfId="78">
      <alignment horizontal="right"/>
    </xf>
    <xf numFmtId="0" fontId="131" fillId="11" borderId="69" xfId="0" applyFont="1" applyFill="1" applyBorder="1"/>
    <xf numFmtId="4" fontId="131" fillId="11" borderId="69" xfId="0" applyNumberFormat="1" applyFont="1" applyFill="1" applyBorder="1"/>
    <xf numFmtId="0" fontId="126" fillId="11" borderId="0" xfId="0" applyFont="1" applyFill="1"/>
    <xf numFmtId="0" fontId="126" fillId="11" borderId="82" xfId="0" applyFont="1" applyFill="1" applyBorder="1"/>
    <xf numFmtId="0" fontId="126" fillId="11" borderId="77" xfId="0" applyFont="1" applyFill="1" applyBorder="1"/>
    <xf numFmtId="0" fontId="136" fillId="11" borderId="69" xfId="0" applyFont="1" applyFill="1" applyBorder="1"/>
    <xf numFmtId="0" fontId="126" fillId="11" borderId="75" xfId="0" applyFont="1" applyFill="1" applyBorder="1"/>
    <xf numFmtId="49" fontId="131" fillId="11" borderId="69" xfId="0" applyNumberFormat="1" applyFont="1" applyFill="1" applyBorder="1"/>
    <xf numFmtId="49" fontId="131" fillId="11" borderId="77" xfId="0" applyNumberFormat="1" applyFont="1" applyFill="1" applyBorder="1"/>
    <xf numFmtId="49" fontId="131" fillId="11" borderId="46" xfId="0" applyNumberFormat="1" applyFont="1" applyFill="1" applyBorder="1"/>
    <xf numFmtId="0" fontId="126" fillId="11" borderId="73" xfId="0" applyFont="1" applyFill="1" applyBorder="1"/>
    <xf numFmtId="0" fontId="126" fillId="11" borderId="46" xfId="0" applyFont="1" applyFill="1" applyBorder="1"/>
    <xf numFmtId="0" fontId="130" fillId="11" borderId="82" xfId="0" applyFont="1" applyFill="1" applyBorder="1"/>
    <xf numFmtId="0" fontId="130" fillId="11" borderId="77" xfId="0" applyFont="1" applyFill="1" applyBorder="1"/>
    <xf numFmtId="4" fontId="131" fillId="11" borderId="46" xfId="0" applyNumberFormat="1" applyFont="1" applyFill="1" applyBorder="1"/>
    <xf numFmtId="4" fontId="131" fillId="11" borderId="77" xfId="0" applyNumberFormat="1" applyFont="1" applyFill="1" applyBorder="1"/>
    <xf numFmtId="0" fontId="131" fillId="11" borderId="46" xfId="0" applyFont="1" applyFill="1" applyBorder="1"/>
    <xf numFmtId="0" fontId="137" fillId="11" borderId="0" xfId="0" applyFont="1" applyFill="1"/>
    <xf numFmtId="0" fontId="127" fillId="11" borderId="0" xfId="0" applyFont="1" applyFill="1"/>
    <xf numFmtId="0" fontId="130" fillId="11" borderId="0" xfId="0" applyFont="1" applyFill="1"/>
    <xf numFmtId="4" fontId="136" fillId="11" borderId="81" xfId="0" applyNumberFormat="1" applyFont="1" applyFill="1" applyBorder="1"/>
    <xf numFmtId="4" fontId="131" fillId="11" borderId="0" xfId="0" applyNumberFormat="1" applyFont="1" applyFill="1" applyAlignment="1">
      <alignment horizontal="center"/>
    </xf>
    <xf numFmtId="4" fontId="131" fillId="11" borderId="75" xfId="0" applyNumberFormat="1" applyFont="1" applyFill="1" applyBorder="1" applyAlignment="1">
      <alignment horizontal="center"/>
    </xf>
    <xf numFmtId="4" fontId="135" fillId="11" borderId="79" xfId="0" applyNumberFormat="1" applyFont="1" applyFill="1" applyBorder="1"/>
    <xf numFmtId="4" fontId="135" fillId="11" borderId="78" xfId="0" applyNumberFormat="1" applyFont="1" applyFill="1" applyBorder="1"/>
    <xf numFmtId="0" fontId="131" fillId="11" borderId="46" xfId="0" applyFont="1" applyFill="1" applyBorder="1" applyAlignment="1">
      <alignment horizontal="center"/>
    </xf>
    <xf numFmtId="0" fontId="135" fillId="11" borderId="0" xfId="0" applyFont="1" applyFill="1"/>
    <xf numFmtId="0" fontId="135" fillId="11" borderId="80" xfId="0" applyFont="1" applyFill="1" applyBorder="1"/>
    <xf numFmtId="0" fontId="140" fillId="53" borderId="0" xfId="0" applyFont="1" applyFill="1" applyAlignment="1">
      <alignment horizontal="center"/>
    </xf>
    <xf numFmtId="0" fontId="162" fillId="89" borderId="0" xfId="0" applyFont="1" applyFill="1" applyAlignment="1">
      <alignment horizontal="center"/>
    </xf>
    <xf numFmtId="0" fontId="166" fillId="87" borderId="0" xfId="0" applyFont="1" applyFill="1" applyAlignment="1">
      <alignment horizontal="center"/>
    </xf>
    <xf numFmtId="0" fontId="161" fillId="89" borderId="0" xfId="0" applyFont="1" applyFill="1" applyAlignment="1">
      <alignment horizontal="center"/>
    </xf>
    <xf numFmtId="0" fontId="164" fillId="87" borderId="0" xfId="0" applyFont="1" applyFill="1" applyAlignment="1">
      <alignment horizontal="right"/>
    </xf>
    <xf numFmtId="8" fontId="1" fillId="0" borderId="0" xfId="80" applyNumberFormat="1"/>
    <xf numFmtId="44" fontId="14" fillId="0" borderId="0" xfId="80" applyNumberFormat="1" applyFont="1"/>
    <xf numFmtId="0" fontId="63" fillId="0" borderId="0" xfId="80" applyFont="1"/>
    <xf numFmtId="0" fontId="140" fillId="53" borderId="0" xfId="0" applyFont="1" applyFill="1" applyAlignment="1">
      <alignment horizontal="left"/>
    </xf>
  </cellXfs>
  <cellStyles count="102">
    <cellStyle name="Alineado a la derecha" xfId="51" xr:uid="{00000000-0005-0000-0000-000000000000}"/>
    <cellStyle name="Alineado a la derecha 2" xfId="69" xr:uid="{00000000-0005-0000-0000-000001000000}"/>
    <cellStyle name="Alineado arriba" xfId="68" xr:uid="{00000000-0005-0000-0000-000002000000}"/>
    <cellStyle name="Date" xfId="87" xr:uid="{00000000-0005-0000-0000-000003000000}"/>
    <cellStyle name="Descripción" xfId="9" xr:uid="{00000000-0005-0000-0000-000004000000}"/>
    <cellStyle name="Descripción 2" xfId="41" xr:uid="{00000000-0005-0000-0000-000005000000}"/>
    <cellStyle name="Descripción 3" xfId="65" xr:uid="{00000000-0005-0000-0000-000006000000}"/>
    <cellStyle name="Descripción del producto" xfId="58" xr:uid="{00000000-0005-0000-0000-000007000000}"/>
    <cellStyle name="Detalles del destinatario" xfId="11" xr:uid="{00000000-0005-0000-0000-000008000000}"/>
    <cellStyle name="Encabezado 1 2" xfId="17" xr:uid="{00000000-0005-0000-0000-000009000000}"/>
    <cellStyle name="Encabezado 1 3" xfId="31" xr:uid="{00000000-0005-0000-0000-00000A000000}"/>
    <cellStyle name="Encabezado 1 4" xfId="46" xr:uid="{00000000-0005-0000-0000-00000B000000}"/>
    <cellStyle name="Encabezado 1 5" xfId="62" xr:uid="{00000000-0005-0000-0000-00000C000000}"/>
    <cellStyle name="Encabezado 1 6" xfId="71" xr:uid="{00000000-0005-0000-0000-00000D000000}"/>
    <cellStyle name="Encabezado 1 7" xfId="76" xr:uid="{00000000-0005-0000-0000-00000E000000}"/>
    <cellStyle name="Encabezado 1 8" xfId="86" xr:uid="{00000000-0005-0000-0000-00000F000000}"/>
    <cellStyle name="Encabezado 1 9" xfId="97" xr:uid="{00000000-0005-0000-0000-000010000000}"/>
    <cellStyle name="Encabezado 4 2" xfId="13" xr:uid="{00000000-0005-0000-0000-000011000000}"/>
    <cellStyle name="Encabezado 4 3" xfId="23" xr:uid="{00000000-0005-0000-0000-000012000000}"/>
    <cellStyle name="Encabezado 4 4" xfId="38" xr:uid="{00000000-0005-0000-0000-000013000000}"/>
    <cellStyle name="Encabezado 4 5" xfId="55" xr:uid="{00000000-0005-0000-0000-000014000000}"/>
    <cellStyle name="Encabezado 4 6" xfId="92" xr:uid="{00000000-0005-0000-0000-000015000000}"/>
    <cellStyle name="Entrada 2" xfId="91" xr:uid="{00000000-0005-0000-0000-000016000000}"/>
    <cellStyle name="Etiqueta del envío" xfId="90" xr:uid="{00000000-0005-0000-0000-000017000000}"/>
    <cellStyle name="Fecha" xfId="14" xr:uid="{00000000-0005-0000-0000-000018000000}"/>
    <cellStyle name="Fecha 2" xfId="30" xr:uid="{00000000-0005-0000-0000-000019000000}"/>
    <cellStyle name="Fecha 3" xfId="45" xr:uid="{00000000-0005-0000-0000-00001A000000}"/>
    <cellStyle name="Fecha 4" xfId="59" xr:uid="{00000000-0005-0000-0000-00001B000000}"/>
    <cellStyle name="Fecha 5" xfId="77" xr:uid="{00000000-0005-0000-0000-00001C000000}"/>
    <cellStyle name="Fecha 6" xfId="100" xr:uid="{00000000-0005-0000-0000-00001D000000}"/>
    <cellStyle name="Línea perforada" xfId="93" xr:uid="{00000000-0005-0000-0000-00001E000000}"/>
    <cellStyle name="Millares" xfId="101" builtinId="3"/>
    <cellStyle name="Millares 2" xfId="22" xr:uid="{00000000-0005-0000-0000-000020000000}"/>
    <cellStyle name="Millares 3" xfId="54" xr:uid="{00000000-0005-0000-0000-000021000000}"/>
    <cellStyle name="Moneda" xfId="1" builtinId="4"/>
    <cellStyle name="Moneda [0] 2" xfId="35" xr:uid="{00000000-0005-0000-0000-000023000000}"/>
    <cellStyle name="Moneda [0] 3" xfId="50" xr:uid="{00000000-0005-0000-0000-000024000000}"/>
    <cellStyle name="Moneda 2" xfId="8" xr:uid="{00000000-0005-0000-0000-000025000000}"/>
    <cellStyle name="Moneda 3" xfId="21" xr:uid="{00000000-0005-0000-0000-000026000000}"/>
    <cellStyle name="Moneda 4" xfId="39" xr:uid="{00000000-0005-0000-0000-000027000000}"/>
    <cellStyle name="Moneda 5" xfId="53" xr:uid="{00000000-0005-0000-0000-000028000000}"/>
    <cellStyle name="Moneda 6" xfId="63" xr:uid="{00000000-0005-0000-0000-000029000000}"/>
    <cellStyle name="Moneda 7" xfId="74" xr:uid="{00000000-0005-0000-0000-00002A000000}"/>
    <cellStyle name="Moneda 8" xfId="82" xr:uid="{00000000-0005-0000-0000-00002B000000}"/>
    <cellStyle name="Moneda 9" xfId="89" xr:uid="{00000000-0005-0000-0000-00002C000000}"/>
    <cellStyle name="Normal" xfId="0" builtinId="0"/>
    <cellStyle name="Normal 2" xfId="2" xr:uid="{00000000-0005-0000-0000-00002E000000}"/>
    <cellStyle name="Normal 2 2" xfId="6" xr:uid="{00000000-0005-0000-0000-00002F000000}"/>
    <cellStyle name="Normal 2 3" xfId="80" xr:uid="{00000000-0005-0000-0000-000030000000}"/>
    <cellStyle name="Normal 3" xfId="48" xr:uid="{00000000-0005-0000-0000-000031000000}"/>
    <cellStyle name="Normal 3 2" xfId="3" xr:uid="{00000000-0005-0000-0000-000032000000}"/>
    <cellStyle name="Normal 4" xfId="72" xr:uid="{00000000-0005-0000-0000-000033000000}"/>
    <cellStyle name="Normal 5" xfId="7" xr:uid="{00000000-0005-0000-0000-000034000000}"/>
    <cellStyle name="Normal 6" xfId="19" xr:uid="{00000000-0005-0000-0000-000035000000}"/>
    <cellStyle name="Normal 7" xfId="33" xr:uid="{00000000-0005-0000-0000-000036000000}"/>
    <cellStyle name="Normal 8" xfId="81" xr:uid="{00000000-0005-0000-0000-000037000000}"/>
    <cellStyle name="Normal 9" xfId="88" xr:uid="{00000000-0005-0000-0000-000038000000}"/>
    <cellStyle name="Notas 2" xfId="34" xr:uid="{00000000-0005-0000-0000-000039000000}"/>
    <cellStyle name="Notas 3" xfId="94" xr:uid="{00000000-0005-0000-0000-00003A000000}"/>
    <cellStyle name="Número de factura" xfId="15" xr:uid="{00000000-0005-0000-0000-00003B000000}"/>
    <cellStyle name="Porcentaje 2" xfId="37" xr:uid="{00000000-0005-0000-0000-00003C000000}"/>
    <cellStyle name="Porcentaje 3" xfId="52" xr:uid="{00000000-0005-0000-0000-00003D000000}"/>
    <cellStyle name="Sangría izquierda" xfId="27" xr:uid="{00000000-0005-0000-0000-00003E000000}"/>
    <cellStyle name="Teléfono" xfId="25" xr:uid="{00000000-0005-0000-0000-00003F000000}"/>
    <cellStyle name="Teléfono 2" xfId="42" xr:uid="{00000000-0005-0000-0000-000040000000}"/>
    <cellStyle name="Teléfono 3" xfId="56" xr:uid="{00000000-0005-0000-0000-000041000000}"/>
    <cellStyle name="Teléfono 4" xfId="66" xr:uid="{00000000-0005-0000-0000-000042000000}"/>
    <cellStyle name="Teléfono 5" xfId="99" xr:uid="{00000000-0005-0000-0000-000043000000}"/>
    <cellStyle name="Teléfono de envío" xfId="24" xr:uid="{00000000-0005-0000-0000-000044000000}"/>
    <cellStyle name="Teléfono de la empresa de facturación" xfId="29" xr:uid="{00000000-0005-0000-0000-000045000000}"/>
    <cellStyle name="Términos y trabajo" xfId="10" xr:uid="{00000000-0005-0000-0000-000046000000}"/>
    <cellStyle name="Texto explicativo 2" xfId="4" xr:uid="{00000000-0005-0000-0000-000047000000}"/>
    <cellStyle name="Texto explicativo 2 2" xfId="5" xr:uid="{00000000-0005-0000-0000-000048000000}"/>
    <cellStyle name="Texto explicativo 3" xfId="20" xr:uid="{00000000-0005-0000-0000-000049000000}"/>
    <cellStyle name="Texto explicativo 4" xfId="44" xr:uid="{00000000-0005-0000-0000-00004A000000}"/>
    <cellStyle name="Texto explicativo 5" xfId="49" xr:uid="{00000000-0005-0000-0000-00004B000000}"/>
    <cellStyle name="Título 10" xfId="98" xr:uid="{00000000-0005-0000-0000-00004C000000}"/>
    <cellStyle name="Título 2 2" xfId="16" xr:uid="{00000000-0005-0000-0000-00004D000000}"/>
    <cellStyle name="Título 2 3" xfId="28" xr:uid="{00000000-0005-0000-0000-00004E000000}"/>
    <cellStyle name="Título 2 4" xfId="43" xr:uid="{00000000-0005-0000-0000-00004F000000}"/>
    <cellStyle name="Título 2 5" xfId="60" xr:uid="{00000000-0005-0000-0000-000050000000}"/>
    <cellStyle name="Título 2 6" xfId="70" xr:uid="{00000000-0005-0000-0000-000051000000}"/>
    <cellStyle name="Título 2 7" xfId="75" xr:uid="{00000000-0005-0000-0000-000052000000}"/>
    <cellStyle name="Título 2 8" xfId="84" xr:uid="{00000000-0005-0000-0000-000053000000}"/>
    <cellStyle name="Título 2 9" xfId="96" xr:uid="{00000000-0005-0000-0000-000054000000}"/>
    <cellStyle name="Título 3 2" xfId="12" xr:uid="{00000000-0005-0000-0000-000055000000}"/>
    <cellStyle name="Título 3 3" xfId="26" xr:uid="{00000000-0005-0000-0000-000056000000}"/>
    <cellStyle name="Título 3 4" xfId="40" xr:uid="{00000000-0005-0000-0000-000057000000}"/>
    <cellStyle name="Título 3 5" xfId="57" xr:uid="{00000000-0005-0000-0000-000058000000}"/>
    <cellStyle name="Título 3 6" xfId="67" xr:uid="{00000000-0005-0000-0000-000059000000}"/>
    <cellStyle name="Título 3 7" xfId="73" xr:uid="{00000000-0005-0000-0000-00005A000000}"/>
    <cellStyle name="Título 3 8" xfId="83" xr:uid="{00000000-0005-0000-0000-00005B000000}"/>
    <cellStyle name="Título 3 9" xfId="95" xr:uid="{00000000-0005-0000-0000-00005C000000}"/>
    <cellStyle name="Título 4" xfId="18" xr:uid="{00000000-0005-0000-0000-00005D000000}"/>
    <cellStyle name="Título 5" xfId="32" xr:uid="{00000000-0005-0000-0000-00005E000000}"/>
    <cellStyle name="Título 6" xfId="47" xr:uid="{00000000-0005-0000-0000-00005F000000}"/>
    <cellStyle name="Título 7" xfId="61" xr:uid="{00000000-0005-0000-0000-000060000000}"/>
    <cellStyle name="Título 8" xfId="78" xr:uid="{00000000-0005-0000-0000-000061000000}"/>
    <cellStyle name="Título 9" xfId="85" xr:uid="{00000000-0005-0000-0000-000062000000}"/>
    <cellStyle name="Total 2" xfId="36" xr:uid="{00000000-0005-0000-0000-000063000000}"/>
    <cellStyle name="Total 3" xfId="64" xr:uid="{00000000-0005-0000-0000-000064000000}"/>
    <cellStyle name="Total 4" xfId="79" xr:uid="{00000000-0005-0000-0000-000065000000}"/>
  </cellStyles>
  <dxfs count="75">
    <dxf>
      <alignment horizontal="right" vertical="bottom" textRotation="0" wrapText="0" indent="0" justifyLastLine="0" shrinkToFit="0" readingOrder="0"/>
    </dxf>
    <dxf>
      <font>
        <b/>
        <i val="0"/>
        <strike val="0"/>
        <condense val="0"/>
        <extend val="0"/>
        <outline val="0"/>
        <shadow val="0"/>
        <u val="none"/>
        <vertAlign val="baseline"/>
        <sz val="12"/>
        <color theme="1"/>
        <name val="Calibri"/>
        <scheme val="minor"/>
      </font>
      <numFmt numFmtId="170" formatCode="_-* #,##0.00\ [$€-C0A]_-;\-* #,##0.00\ [$€-C0A]_-;_-* &quot;-&quot;??\ [$€-C0A]_-;_-@_-"/>
      <fill>
        <patternFill patternType="solid">
          <fgColor indexed="64"/>
          <bgColor theme="0" tint="-4.9989318521683403E-2"/>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color theme="1"/>
        <name val="Calibri"/>
        <scheme val="minor"/>
      </font>
      <numFmt numFmtId="170" formatCode="_-* #,##0.00\ [$€-C0A]_-;\-* #,##0.00\ [$€-C0A]_-;_-* &quot;-&quot;??\ [$€-C0A]_-;_-@_-"/>
    </dxf>
    <dxf>
      <fill>
        <patternFill patternType="solid">
          <fgColor indexed="64"/>
          <bgColor rgb="FFE36F6F"/>
        </patternFill>
      </fill>
    </dxf>
    <dxf>
      <font>
        <b val="0"/>
        <i val="0"/>
        <strike val="0"/>
        <condense val="0"/>
        <extend val="0"/>
        <outline val="0"/>
        <shadow val="0"/>
        <u val="none"/>
        <vertAlign val="baseline"/>
        <sz val="11"/>
        <color theme="1"/>
        <name val="Calibri"/>
        <scheme val="minor"/>
      </font>
      <numFmt numFmtId="11" formatCode="#,##0.00\ &quot;€&quot;;\-#,##0.00\ &quot;€&quot;"/>
      <alignment horizontal="center" vertical="center" textRotation="0" wrapText="0" indent="0" justifyLastLine="0" shrinkToFit="0" readingOrder="0"/>
      <border diagonalUp="0" diagonalDown="0" outline="0">
        <left style="thin">
          <color theme="8" tint="-0.24994659260841701"/>
        </left>
        <right style="thin">
          <color theme="8" tint="-0.24994659260841701"/>
        </right>
        <top style="thin">
          <color theme="8" tint="-0.24994659260841701"/>
        </top>
        <bottom style="thin">
          <color theme="8" tint="-0.24994659260841701"/>
        </bottom>
      </border>
    </dxf>
    <dxf>
      <font>
        <b val="0"/>
        <i val="0"/>
        <strike val="0"/>
        <condense val="0"/>
        <extend val="0"/>
        <outline val="0"/>
        <shadow val="0"/>
        <u val="none"/>
        <vertAlign val="baseline"/>
        <sz val="9"/>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1" formatCode="#,##0.00\ &quot;€&quot;;\-#,##0.00\ &quot;€&quot;"/>
      <alignment horizontal="center" vertical="center" textRotation="0" wrapText="0" indent="0" justifyLastLine="0" shrinkToFit="0" readingOrder="0"/>
      <border diagonalUp="0" diagonalDown="0" outline="0">
        <left/>
        <right/>
        <top style="thin">
          <color theme="8" tint="-0.24994659260841701"/>
        </top>
        <bottom style="thin">
          <color theme="8" tint="-0.24994659260841701"/>
        </bottom>
      </border>
    </dxf>
    <dxf>
      <font>
        <strike val="0"/>
        <outline val="0"/>
        <shadow val="0"/>
        <u val="none"/>
        <vertAlign val="baseline"/>
        <sz val="9"/>
      </font>
      <fill>
        <patternFill patternType="none">
          <fgColor indexed="64"/>
          <bgColor indexed="65"/>
        </patternFill>
      </fill>
      <alignment horizontal="center" vertical="center" textRotation="0" wrapText="0" indent="0" justifyLastLine="0" shrinkToFit="0" readingOrder="0"/>
      <border diagonalUp="0" diagonalDown="0" outline="0">
        <left style="thin">
          <color rgb="FF578AAD"/>
        </left>
        <right style="thin">
          <color rgb="FF578AAD"/>
        </right>
        <top style="thin">
          <color rgb="FF578AAD"/>
        </top>
        <bottom style="thin">
          <color rgb="FF578AAD"/>
        </bottom>
      </border>
    </dxf>
    <dxf>
      <font>
        <b val="0"/>
        <i val="0"/>
        <strike val="0"/>
        <condense val="0"/>
        <extend val="0"/>
        <outline val="0"/>
        <shadow val="0"/>
        <u val="none"/>
        <vertAlign val="baseline"/>
        <sz val="11"/>
        <color theme="1"/>
        <name val="Calibri"/>
        <scheme val="minor"/>
      </font>
      <numFmt numFmtId="0" formatCode="General"/>
      <alignment horizontal="right" vertical="center" textRotation="0" wrapText="0" indent="0" justifyLastLine="0" shrinkToFit="0" readingOrder="0"/>
      <border diagonalUp="0" diagonalDown="0" outline="0">
        <left style="thin">
          <color auto="1"/>
        </left>
        <right style="thin">
          <color auto="1"/>
        </right>
        <top style="thin">
          <color theme="8" tint="-0.24994659260841701"/>
        </top>
        <bottom style="thin">
          <color theme="8" tint="-0.24994659260841701"/>
        </bottom>
      </border>
    </dxf>
    <dxf>
      <font>
        <strike val="0"/>
        <outline val="0"/>
        <shadow val="0"/>
        <u val="none"/>
        <vertAlign val="baseline"/>
        <sz val="9"/>
      </font>
      <numFmt numFmtId="12" formatCode="#,##0.00\ &quot;€&quot;;[Red]\-#,##0.00\ &quot;€&quot;"/>
      <border diagonalUp="0" diagonalDown="0" outline="0">
        <left style="thin">
          <color rgb="FF578AAD"/>
        </left>
        <right style="thin">
          <color rgb="FF578AAD"/>
        </right>
        <top style="thin">
          <color rgb="FF578AAD"/>
        </top>
        <bottom style="thin">
          <color rgb="FF578AAD"/>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style="thin">
          <color theme="8" tint="-0.24994659260841701"/>
        </left>
        <right/>
        <top style="thin">
          <color theme="8" tint="-0.24994659260841701"/>
        </top>
        <bottom style="thin">
          <color theme="8" tint="-0.24994659260841701"/>
        </bottom>
      </border>
      <protection locked="1" hidden="0"/>
    </dxf>
    <dxf>
      <font>
        <strike val="0"/>
        <outline val="0"/>
        <shadow val="0"/>
        <u val="none"/>
        <vertAlign val="baseline"/>
        <sz val="9"/>
      </font>
      <border diagonalUp="0" diagonalDown="0" outline="0">
        <left style="thin">
          <color rgb="FF578AAD"/>
        </left>
        <right style="thin">
          <color rgb="FF578AAD"/>
        </right>
        <top style="thin">
          <color rgb="FF578AAD"/>
        </top>
        <bottom style="thin">
          <color rgb="FF578AAD"/>
        </bottom>
      </border>
    </dxf>
    <dxf>
      <border outline="0">
        <top style="thin">
          <color theme="8" tint="-0.24994659260841701"/>
        </top>
      </border>
    </dxf>
    <dxf>
      <font>
        <strike val="0"/>
        <outline val="0"/>
        <shadow val="0"/>
        <u val="none"/>
        <vertAlign val="baseline"/>
        <sz val="9"/>
      </font>
    </dxf>
    <dxf>
      <font>
        <strike val="0"/>
        <outline val="0"/>
        <shadow val="0"/>
        <u val="none"/>
        <vertAlign val="baseline"/>
        <sz val="11"/>
        <color theme="0"/>
        <name val="Calibri"/>
        <scheme val="minor"/>
      </font>
      <fill>
        <patternFill patternType="solid">
          <fgColor indexed="64"/>
          <bgColor rgb="FF477E85"/>
        </patternFill>
      </fill>
    </dxf>
    <dxf>
      <font>
        <strike val="0"/>
        <outline val="0"/>
        <shadow val="0"/>
        <u val="none"/>
        <vertAlign val="baseline"/>
        <sz val="12"/>
        <color auto="1"/>
        <name val="Calibri"/>
        <scheme val="minor"/>
      </font>
      <numFmt numFmtId="34" formatCode="_-* #,##0.00\ &quot;€&quot;_-;\-* #,##0.00\ &quot;€&quot;_-;_-* &quot;-&quot;??\ &quot;€&quot;_-;_-@_-"/>
      <alignment horizontal="general" vertical="center" textRotation="0" wrapText="0" indent="0" justifyLastLine="0" shrinkToFit="0" readingOrder="0"/>
    </dxf>
    <dxf>
      <font>
        <strike val="0"/>
        <outline val="0"/>
        <shadow val="0"/>
        <u val="none"/>
        <vertAlign val="baseline"/>
        <sz val="12"/>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8"/>
        <color auto="1"/>
        <name val="Calibri"/>
        <scheme val="minor"/>
      </font>
      <alignment horizontal="right" vertical="center" textRotation="0" wrapText="0" indent="0" justifyLastLine="0" shrinkToFit="0" readingOrder="0"/>
    </dxf>
    <dxf>
      <font>
        <strike val="0"/>
        <outline val="0"/>
        <shadow val="0"/>
        <u val="none"/>
        <vertAlign val="baseline"/>
        <sz val="12"/>
        <color auto="1"/>
        <name val="Calibri"/>
        <scheme val="minor"/>
      </font>
      <numFmt numFmtId="34" formatCode="_-* #,##0.00\ &quot;€&quot;_-;\-* #,##0.00\ &quot;€&quot;_-;_-* &quot;-&quot;??\ &quot;€&quot;_-;_-@_-"/>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alignment horizontal="left" vertical="center" textRotation="0" wrapText="0" indent="0" justifyLastLine="0" shrinkToFit="0" readingOrder="0"/>
    </dxf>
    <dxf>
      <font>
        <strike val="0"/>
        <outline val="0"/>
        <shadow val="0"/>
        <u val="none"/>
        <vertAlign val="baseline"/>
        <sz val="12"/>
        <color auto="1"/>
        <name val="Calibri"/>
        <scheme val="minor"/>
      </font>
      <alignment horizontal="left" vertical="center" textRotation="0" wrapText="0" indent="0" justifyLastLine="0" shrinkToFit="0" readingOrder="0"/>
    </dxf>
    <dxf>
      <font>
        <strike val="0"/>
        <outline val="0"/>
        <shadow val="0"/>
        <u val="none"/>
        <vertAlign val="baseline"/>
        <sz val="12"/>
        <color auto="1"/>
        <name val="Calibri"/>
        <scheme val="minor"/>
      </font>
      <alignment horizontal="general" vertical="center" textRotation="0" wrapText="0" indent="0" justifyLastLine="0" shrinkToFit="0" readingOrder="0"/>
    </dxf>
    <dxf>
      <font>
        <b/>
        <strike val="0"/>
        <outline val="0"/>
        <shadow val="0"/>
        <u val="none"/>
        <vertAlign val="baseline"/>
        <sz val="12"/>
        <color theme="0"/>
        <name val="Calibri"/>
        <scheme val="minor"/>
      </font>
      <alignment horizontal="center" vertical="center" textRotation="0" wrapText="0" indent="0" justifyLastLine="0" shrinkToFit="0" readingOrder="0"/>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style="thin">
          <color theme="8" tint="0.59996337778862885"/>
        </vertical>
        <horizontal style="thin">
          <color theme="8" tint="0.59996337778862885"/>
        </horizontal>
      </border>
    </dxf>
    <dxf>
      <fill>
        <patternFill>
          <bgColor theme="0"/>
        </patternFill>
      </fill>
      <border>
        <left style="thin">
          <color theme="8" tint="0.39994506668294322"/>
        </left>
        <right style="thin">
          <color theme="8" tint="0.39994506668294322"/>
        </right>
        <top style="thin">
          <color theme="8" tint="0.39994506668294322"/>
        </top>
        <bottom style="thin">
          <color theme="8" tint="0.39994506668294322"/>
        </bottom>
        <vertical style="thin">
          <color theme="8" tint="0.39994506668294322"/>
        </vertical>
        <horizontal style="thin">
          <color theme="8" tint="0.39994506668294322"/>
        </horizontal>
      </border>
    </dxf>
    <dxf>
      <border>
        <left style="thin">
          <color theme="8" tint="0.59996337778862885"/>
        </left>
        <right style="thin">
          <color theme="8" tint="0.59996337778862885"/>
        </right>
        <top style="double">
          <color theme="8" tint="0.59996337778862885"/>
        </top>
        <bottom style="thin">
          <color theme="8" tint="0.59996337778862885"/>
        </bottom>
        <vertical style="thin">
          <color theme="8" tint="0.59996337778862885"/>
        </vertical>
      </border>
    </dxf>
    <dxf>
      <fill>
        <patternFill>
          <bgColor theme="8" tint="0.79998168889431442"/>
        </patternFill>
      </fill>
      <border>
        <left style="thin">
          <color theme="8" tint="0.59996337778862885"/>
        </left>
        <right style="thin">
          <color theme="8" tint="0.59996337778862885"/>
        </right>
        <top style="thin">
          <color theme="8" tint="0.59996337778862885"/>
        </top>
        <bottom style="thin">
          <color theme="8" tint="0.59996337778862885"/>
        </bottom>
        <vertical style="thin">
          <color theme="8" tint="0.59996337778862885"/>
        </vertical>
      </border>
    </dxf>
    <dxf>
      <font>
        <b val="0"/>
        <i val="0"/>
      </font>
      <fill>
        <patternFill>
          <bgColor theme="0" tint="-4.9989318521683403E-2"/>
        </patternFill>
      </fill>
      <border>
        <left style="thin">
          <color auto="1"/>
        </left>
        <right style="thin">
          <color auto="1"/>
        </right>
        <top style="thin">
          <color auto="1"/>
        </top>
        <bottom style="thin">
          <color auto="1"/>
        </bottom>
      </border>
    </dxf>
    <dxf>
      <border>
        <left style="thin">
          <color auto="1"/>
        </left>
      </border>
    </dxf>
    <dxf>
      <border>
        <left style="thin">
          <color auto="1"/>
        </left>
      </border>
    </dxf>
    <dxf>
      <border>
        <left style="thin">
          <color auto="1"/>
        </left>
      </border>
    </dxf>
    <dxf>
      <font>
        <b/>
        <i val="0"/>
      </font>
      <border diagonalUp="0" diagonalDown="0">
        <left/>
        <right/>
        <top style="thin">
          <color auto="1"/>
        </top>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border>
    </dxf>
    <dxf>
      <border>
        <left style="thin">
          <color auto="1"/>
        </left>
        <right style="thin">
          <color auto="1"/>
        </right>
        <top style="thin">
          <color auto="1"/>
        </top>
        <bottom style="thin">
          <color auto="1"/>
        </bottom>
        <horizontal style="thin">
          <color auto="1"/>
        </horizontal>
      </border>
    </dxf>
    <dxf>
      <fill>
        <patternFill>
          <bgColor theme="6" tint="0.79998168889431442"/>
        </patternFill>
      </fill>
    </dxf>
    <dxf>
      <fill>
        <patternFill>
          <bgColor theme="6" tint="0.79998168889431442"/>
        </patternFill>
      </fill>
    </dxf>
    <dxf>
      <fill>
        <patternFill>
          <bgColor theme="6"/>
        </patternFill>
      </fill>
    </dxf>
    <dxf>
      <border>
        <left style="medium">
          <color theme="0"/>
        </left>
        <right style="medium">
          <color theme="0"/>
        </right>
        <top style="medium">
          <color theme="0"/>
        </top>
        <bottom style="medium">
          <color theme="0"/>
        </bottom>
        <vertical style="medium">
          <color theme="0"/>
        </vertical>
        <horizontal style="medium">
          <color theme="0"/>
        </horizontal>
      </border>
    </dxf>
    <dxf>
      <border>
        <left style="thin">
          <color auto="1"/>
        </left>
        <right style="thin">
          <color auto="1"/>
        </right>
        <top style="thin">
          <color auto="1"/>
        </top>
        <bottom style="thin">
          <color auto="1"/>
        </bottom>
      </border>
    </dxf>
    <dxf>
      <fill>
        <patternFill>
          <bgColor theme="0"/>
        </patternFill>
      </fill>
    </dxf>
    <dxf>
      <fill>
        <patternFill patternType="solid">
          <fgColor theme="0" tint="-0.14999847407452621"/>
          <bgColor theme="0" tint="-0.14999847407452621"/>
        </patternFill>
      </fill>
    </dxf>
    <dxf>
      <fill>
        <patternFill>
          <bgColor theme="0" tint="-0.14996795556505021"/>
        </patternFill>
      </fill>
    </dxf>
    <dxf>
      <font>
        <b val="0"/>
        <i val="0"/>
      </font>
      <border>
        <left/>
        <right/>
        <top style="thin">
          <color theme="1"/>
        </top>
        <bottom/>
        <vertical/>
      </border>
    </dxf>
    <dxf>
      <font>
        <b val="0"/>
        <i val="0"/>
        <color theme="1"/>
      </font>
      <border>
        <bottom style="thin">
          <color theme="1"/>
        </bottom>
      </border>
    </dxf>
    <dxf>
      <font>
        <color theme="1"/>
      </font>
      <border>
        <left style="thin">
          <color theme="1"/>
        </left>
        <right style="thin">
          <color theme="1"/>
        </right>
        <top style="thin">
          <color theme="1"/>
        </top>
        <bottom style="thin">
          <color theme="1"/>
        </bottom>
        <vertical style="thin">
          <color theme="1"/>
        </vertical>
      </border>
    </dxf>
    <dxf>
      <border>
        <left style="thin">
          <color theme="0" tint="-0.34998626667073579"/>
        </left>
        <right style="thin">
          <color theme="0" tint="-0.34998626667073579"/>
        </right>
        <top style="thin">
          <color theme="0" tint="-0.34998626667073579"/>
        </top>
      </border>
    </dxf>
    <dxf>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border diagonalUp="0" diagonalDown="0">
        <left/>
        <right style="thin">
          <color theme="0" tint="-0.34998626667073579"/>
        </right>
        <top style="thin">
          <color theme="0" tint="-0.34998626667073579"/>
        </top>
        <bottom style="thin">
          <color theme="0" tint="-0.34998626667073579"/>
        </bottom>
        <vertical/>
        <horizontal style="thin">
          <color theme="0" tint="-0.34998626667073579"/>
        </horizontal>
      </border>
    </dxf>
    <dxf>
      <border>
        <left style="thin">
          <color theme="0" tint="-0.34998626667073579"/>
        </left>
      </border>
    </dxf>
    <dxf>
      <font>
        <b val="0"/>
        <i val="0"/>
        <color auto="1"/>
      </font>
      <border diagonalUp="0" diagonalDown="0">
        <left/>
        <right/>
        <top style="thin">
          <color theme="0" tint="-0.34998626667073579"/>
        </top>
        <bottom/>
        <vertical/>
        <horizontal/>
      </border>
    </dxf>
    <dxf>
      <font>
        <b/>
        <i val="0"/>
      </font>
      <fill>
        <patternFill>
          <bgColor theme="0" tint="-0.14996795556505021"/>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border>
        <left style="thin">
          <color theme="0" tint="-0.34998626667073579"/>
        </left>
        <right style="thin">
          <color theme="0" tint="-0.34998626667073579"/>
        </right>
        <top style="thin">
          <color theme="0" tint="-0.34998626667073579"/>
        </top>
        <bottom style="thin">
          <color theme="0" tint="-0.34998626667073579"/>
        </bottom>
        <vertical/>
        <horizontal style="thin">
          <color theme="0" tint="-0.34998626667073579"/>
        </horizontal>
      </border>
    </dxf>
    <dxf>
      <font>
        <b/>
        <i val="0"/>
      </font>
      <border>
        <left style="thin">
          <color theme="8" tint="-0.24994659260841701"/>
        </left>
        <right style="thin">
          <color theme="8" tint="-0.24994659260841701"/>
        </right>
        <top style="double">
          <color theme="8" tint="-0.24994659260841701"/>
        </top>
        <bottom style="thin">
          <color theme="8" tint="-0.24994659260841701"/>
        </bottom>
        <vertical style="thin">
          <color theme="8" tint="-0.24994659260841701"/>
        </vertical>
        <horizontal style="thin">
          <color theme="8" tint="-0.24994659260841701"/>
        </horizontal>
      </border>
    </dxf>
    <dxf>
      <border>
        <left style="thin">
          <color theme="0"/>
        </left>
        <right style="thin">
          <color theme="0"/>
        </right>
        <bottom style="thin">
          <color theme="0"/>
        </bottom>
        <vertical/>
        <horizontal/>
      </border>
    </dxf>
    <dxf>
      <border>
        <left style="thin">
          <color theme="8" tint="-0.24994659260841701"/>
        </left>
        <right style="thin">
          <color theme="8" tint="-0.24994659260841701"/>
        </right>
        <vertical style="thin">
          <color theme="8" tint="-0.24994659260841701"/>
        </vertical>
      </border>
    </dxf>
    <dxf>
      <border>
        <right style="thin">
          <color theme="8" tint="-0.24994659260841701"/>
        </right>
      </border>
    </dxf>
    <dxf>
      <border>
        <left style="thin">
          <color theme="8" tint="-0.24994659260841701"/>
        </left>
        <right style="thin">
          <color theme="8" tint="-0.24994659260841701"/>
        </right>
        <top style="thin">
          <color theme="8" tint="-0.24994659260841701"/>
        </top>
        <bottom style="thin">
          <color theme="8" tint="-0.24994659260841701"/>
        </bottom>
        <horizontal style="thin">
          <color theme="8" tint="-0.24994659260841701"/>
        </horizontal>
      </border>
    </dxf>
    <dxf>
      <border>
        <left style="thin">
          <color theme="8" tint="-0.24994659260841701"/>
        </left>
        <top style="thin">
          <color theme="8" tint="-0.24994659260841701"/>
        </top>
        <bottom style="thin">
          <color theme="8" tint="-0.24994659260841701"/>
        </bottom>
        <horizontal style="thin">
          <color theme="8" tint="-0.24994659260841701"/>
        </horizontal>
      </border>
    </dxf>
    <dxf>
      <font>
        <b val="0"/>
        <i val="0"/>
        <color theme="1"/>
      </font>
      <border>
        <top style="double">
          <color theme="8" tint="-0.24994659260841701"/>
        </top>
        <vertical/>
      </border>
    </dxf>
    <dxf>
      <font>
        <b/>
        <i val="0"/>
        <color theme="0"/>
      </font>
      <fill>
        <patternFill patternType="solid">
          <fgColor theme="8"/>
          <bgColor theme="8" tint="-0.24994659260841701"/>
        </patternFill>
      </fill>
    </dxf>
    <dxf>
      <font>
        <b val="0"/>
        <i val="0"/>
        <color theme="1"/>
      </font>
      <border>
        <vertical/>
        <horizontal style="thin">
          <color theme="8" tint="-0.24994659260841701"/>
        </horizontal>
      </border>
    </dxf>
    <dxf>
      <font>
        <b/>
        <i val="0"/>
      </font>
      <border>
        <left style="thin">
          <color theme="8" tint="-0.24994659260841701"/>
        </left>
        <right style="thin">
          <color theme="8" tint="-0.24994659260841701"/>
        </right>
        <top style="double">
          <color theme="8" tint="-0.24994659260841701"/>
        </top>
        <bottom style="thin">
          <color theme="8" tint="-0.24994659260841701"/>
        </bottom>
        <vertical style="thin">
          <color theme="8" tint="-0.24994659260841701"/>
        </vertical>
        <horizontal style="thin">
          <color theme="8" tint="-0.24994659260841701"/>
        </horizontal>
      </border>
    </dxf>
    <dxf>
      <border>
        <left style="thin">
          <color theme="0"/>
        </left>
        <right style="thin">
          <color theme="0"/>
        </right>
        <bottom style="thin">
          <color theme="0"/>
        </bottom>
        <vertical/>
        <horizontal/>
      </border>
    </dxf>
    <dxf>
      <border>
        <left style="thin">
          <color theme="8" tint="-0.24994659260841701"/>
        </left>
        <right style="thin">
          <color theme="8" tint="-0.24994659260841701"/>
        </right>
        <vertical style="thin">
          <color theme="8" tint="-0.24994659260841701"/>
        </vertical>
      </border>
    </dxf>
    <dxf>
      <border>
        <right style="thin">
          <color theme="8" tint="-0.24994659260841701"/>
        </right>
      </border>
    </dxf>
    <dxf>
      <border>
        <left style="thin">
          <color theme="8" tint="-0.24994659260841701"/>
        </left>
        <right style="thin">
          <color theme="8" tint="-0.24994659260841701"/>
        </right>
        <top style="thin">
          <color theme="8" tint="-0.24994659260841701"/>
        </top>
        <bottom style="thin">
          <color theme="8" tint="-0.24994659260841701"/>
        </bottom>
        <horizontal style="thin">
          <color theme="8" tint="-0.24994659260841701"/>
        </horizontal>
      </border>
    </dxf>
    <dxf>
      <border>
        <left style="thin">
          <color theme="8" tint="-0.24994659260841701"/>
        </left>
        <top style="thin">
          <color theme="8" tint="-0.24994659260841701"/>
        </top>
        <bottom style="thin">
          <color theme="8" tint="-0.24994659260841701"/>
        </bottom>
        <horizontal style="thin">
          <color theme="8" tint="-0.24994659260841701"/>
        </horizontal>
      </border>
    </dxf>
    <dxf>
      <font>
        <b val="0"/>
        <i val="0"/>
        <color theme="1"/>
      </font>
      <border>
        <top style="double">
          <color theme="8" tint="-0.24994659260841701"/>
        </top>
        <vertical/>
      </border>
    </dxf>
    <dxf>
      <font>
        <b/>
        <i val="0"/>
        <color theme="0"/>
      </font>
      <fill>
        <patternFill patternType="solid">
          <fgColor theme="8"/>
          <bgColor theme="8" tint="-0.24994659260841701"/>
        </patternFill>
      </fill>
    </dxf>
    <dxf>
      <font>
        <b val="0"/>
        <i val="0"/>
        <color theme="1"/>
      </font>
      <border>
        <vertical/>
        <horizontal style="thin">
          <color theme="8" tint="-0.24994659260841701"/>
        </horizontal>
      </border>
    </dxf>
    <dxf>
      <fill>
        <patternFill>
          <bgColor theme="0" tint="-4.9989318521683403E-2"/>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fill>
        <patternFill>
          <bgColor theme="0" tint="-0.14996795556505021"/>
        </patternFill>
      </fill>
    </dxf>
    <dxf>
      <border diagonalUp="0" diagonalDown="0">
        <left/>
        <right/>
        <top style="thin">
          <color theme="1" tint="0.499984740745262"/>
        </top>
        <bottom/>
        <vertical/>
        <horizontal/>
      </border>
    </dxf>
    <dxf>
      <font>
        <b/>
        <i val="0"/>
        <color auto="1"/>
      </font>
      <fill>
        <patternFill>
          <bgColor theme="1" tint="0.34998626667073579"/>
        </patternFill>
      </fill>
      <border>
        <left style="medium">
          <color theme="0"/>
        </left>
        <right style="medium">
          <color theme="0"/>
        </right>
        <top style="medium">
          <color theme="0"/>
        </top>
        <bottom style="medium">
          <color theme="0"/>
        </bottom>
        <vertical style="medium">
          <color theme="0"/>
        </vertical>
        <horizontal style="medium">
          <color theme="0"/>
        </horizontal>
      </border>
    </dxf>
    <dxf>
      <font>
        <b val="0"/>
        <i val="0"/>
        <color auto="1"/>
      </font>
      <border>
        <left style="thin">
          <color theme="1" tint="0.499984740745262"/>
        </left>
        <right style="thin">
          <color theme="1" tint="0.499984740745262"/>
        </right>
        <top style="thin">
          <color theme="1" tint="0.499984740745262"/>
        </top>
        <bottom style="thin">
          <color theme="1" tint="0.499984740745262"/>
        </bottom>
        <vertical style="dotted">
          <color theme="1" tint="0.499984740745262"/>
        </vertical>
        <horizontal style="thin">
          <color theme="1" tint="0.499984740745262"/>
        </horizontal>
      </border>
    </dxf>
  </dxfs>
  <tableStyles count="8" defaultTableStyle="TableStyleMedium2" defaultPivotStyle="PivotStyleLight16">
    <tableStyle name="Extracto de facturación (Simple)" pivot="0" count="5" xr9:uid="{00000000-0011-0000-FFFF-FFFF00000000}">
      <tableStyleElement type="wholeTable" dxfId="74"/>
      <tableStyleElement type="headerRow" dxfId="73"/>
      <tableStyleElement type="totalRow" dxfId="72"/>
      <tableStyleElement type="lastColumn" dxfId="71"/>
      <tableStyleElement type="lastTotalCell" dxfId="70"/>
    </tableStyle>
    <tableStyle name="Factura" pivot="0" count="9" xr9:uid="{00000000-0011-0000-FFFF-FFFF01000000}">
      <tableStyleElement type="wholeTable" dxfId="69"/>
      <tableStyleElement type="headerRow" dxfId="68"/>
      <tableStyleElement type="totalRow" dxfId="67"/>
      <tableStyleElement type="firstColumn" dxfId="66"/>
      <tableStyleElement type="lastColumn" dxfId="65"/>
      <tableStyleElement type="firstColumnStripe" dxfId="64"/>
      <tableStyleElement type="secondColumnStripe" dxfId="63"/>
      <tableStyleElement type="firstTotalCell" dxfId="62"/>
      <tableStyleElement type="lastTotalCell" dxfId="61"/>
    </tableStyle>
    <tableStyle name="Factura 2" pivot="0" count="9" xr9:uid="{00000000-0011-0000-FFFF-FFFF02000000}">
      <tableStyleElement type="wholeTable" dxfId="60"/>
      <tableStyleElement type="headerRow" dxfId="59"/>
      <tableStyleElement type="totalRow" dxfId="58"/>
      <tableStyleElement type="firstColumn" dxfId="57"/>
      <tableStyleElement type="lastColumn" dxfId="56"/>
      <tableStyleElement type="firstColumnStripe" dxfId="55"/>
      <tableStyleElement type="secondColumnStripe" dxfId="54"/>
      <tableStyleElement type="firstTotalCell" dxfId="53"/>
      <tableStyleElement type="lastTotalCell" dxfId="52"/>
    </tableStyle>
    <tableStyle name="Factura con cálculo de impuestos" pivot="0" count="7" xr9:uid="{00000000-0011-0000-FFFF-FFFF03000000}">
      <tableStyleElement type="wholeTable" dxfId="51"/>
      <tableStyleElement type="headerRow" dxfId="50"/>
      <tableStyleElement type="totalRow" dxfId="49"/>
      <tableStyleElement type="lastColumn" dxfId="48"/>
      <tableStyleElement type="secondColumnStripe" dxfId="47"/>
      <tableStyleElement type="lastHeaderCell" dxfId="46"/>
      <tableStyleElement type="lastTotalCell" dxfId="45"/>
    </tableStyle>
    <tableStyle name="Factura de servicio con el cálculo de impuestos." pivot="0" count="7" xr9:uid="{00000000-0011-0000-FFFF-FFFF04000000}">
      <tableStyleElement type="wholeTable" dxfId="44"/>
      <tableStyleElement type="headerRow" dxfId="43"/>
      <tableStyleElement type="totalRow" dxfId="42"/>
      <tableStyleElement type="lastColumn" dxfId="41"/>
      <tableStyleElement type="firstRowStripe" dxfId="40"/>
      <tableStyleElement type="lastHeaderCell" dxfId="39"/>
      <tableStyleElement type="lastTotalCell" dxfId="38"/>
    </tableStyle>
    <tableStyle name="Factura de servicio simple diseño azul" pivot="0" count="4" xr9:uid="{00000000-0011-0000-FFFF-FFFF05000000}">
      <tableStyleElement type="wholeTable" dxfId="37"/>
      <tableStyleElement type="headerRow" dxfId="36"/>
      <tableStyleElement type="lastColumn" dxfId="35"/>
      <tableStyleElement type="secondRowStripe" dxfId="34"/>
    </tableStyle>
    <tableStyle name="Factura que calcula el total" pivot="0" count="7" xr9:uid="{00000000-0011-0000-FFFF-FFFF06000000}">
      <tableStyleElement type="wholeTable" dxfId="33"/>
      <tableStyleElement type="headerRow" dxfId="32"/>
      <tableStyleElement type="totalRow" dxfId="31"/>
      <tableStyleElement type="lastColumn" dxfId="30"/>
      <tableStyleElement type="secondColumnStripe" dxfId="29"/>
      <tableStyleElement type="lastHeaderCell" dxfId="28"/>
      <tableStyleElement type="lastTotalCell" dxfId="27"/>
    </tableStyle>
    <tableStyle name="Factura que calcula el total 2" pivot="0" count="4" xr9:uid="{00000000-0011-0000-FFFF-FFFF07000000}">
      <tableStyleElement type="headerRow" dxfId="26"/>
      <tableStyleElement type="totalRow" dxfId="25"/>
      <tableStyleElement type="firstRowStripe" dxfId="24"/>
      <tableStyleElement type="secondRowStripe" dxfId="23"/>
    </tableStyle>
  </tableStyles>
  <colors>
    <mruColors>
      <color rgb="FF9AB5C2"/>
      <color rgb="FF658EA3"/>
      <color rgb="FFFBFBFB"/>
      <color rgb="FF7DA0B1"/>
      <color rgb="FFAEDCAC"/>
      <color rgb="FF69916E"/>
      <color rgb="FF78A080"/>
      <color rgb="FF7EAE98"/>
      <color rgb="FF68A087"/>
      <color rgb="FF7B79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1" u="sng" strike="noStrike" kern="1200" spc="0" baseline="0">
                <a:solidFill>
                  <a:schemeClr val="tx1">
                    <a:lumMod val="65000"/>
                    <a:lumOff val="35000"/>
                  </a:schemeClr>
                </a:solidFill>
                <a:latin typeface="+mn-lt"/>
                <a:ea typeface="+mn-ea"/>
                <a:cs typeface="+mn-cs"/>
              </a:defRPr>
            </a:pPr>
            <a:r>
              <a:rPr lang="es-ES" sz="2000" b="1" i="1" u="sng"/>
              <a:t>INGRESOS 2022</a:t>
            </a:r>
          </a:p>
        </c:rich>
      </c:tx>
      <c:overlay val="0"/>
      <c:spPr>
        <a:noFill/>
        <a:ln>
          <a:noFill/>
        </a:ln>
        <a:effectLst/>
      </c:spPr>
      <c:txPr>
        <a:bodyPr rot="0" spcFirstLastPara="1" vertOverflow="ellipsis" vert="horz" wrap="square" anchor="ctr" anchorCtr="1"/>
        <a:lstStyle/>
        <a:p>
          <a:pPr>
            <a:defRPr sz="2000" b="1" i="1" u="sng" strike="noStrike" kern="1200" spc="0" baseline="0">
              <a:solidFill>
                <a:schemeClr val="tx1">
                  <a:lumMod val="65000"/>
                  <a:lumOff val="35000"/>
                </a:schemeClr>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Resultados!$C$34</c:f>
              <c:strCache>
                <c:ptCount val="1"/>
                <c:pt idx="0">
                  <c:v> ENERO </c:v>
                </c:pt>
              </c:strCache>
            </c:strRef>
          </c:tx>
          <c:spPr>
            <a:solidFill>
              <a:srgbClr val="AE7E85"/>
            </a:solidFill>
            <a:ln>
              <a:noFill/>
            </a:ln>
            <a:effectLst/>
            <a:sp3d/>
          </c:spPr>
          <c:invertIfNegative val="0"/>
          <c:val>
            <c:numRef>
              <c:f>Resultados!$C$36</c:f>
              <c:numCache>
                <c:formatCode>_("€"* #,##0.00_);_("€"* \(#,##0.00\);_("€"* "-"??_);_(@_)</c:formatCode>
                <c:ptCount val="1"/>
                <c:pt idx="0">
                  <c:v>16490.26325</c:v>
                </c:pt>
              </c:numCache>
            </c:numRef>
          </c:val>
          <c:extLst>
            <c:ext xmlns:c16="http://schemas.microsoft.com/office/drawing/2014/chart" uri="{C3380CC4-5D6E-409C-BE32-E72D297353CC}">
              <c16:uniqueId val="{00000000-4481-48C8-9F8B-9412BBCEBF9C}"/>
            </c:ext>
          </c:extLst>
        </c:ser>
        <c:ser>
          <c:idx val="1"/>
          <c:order val="1"/>
          <c:tx>
            <c:strRef>
              <c:f>Resultados!$D$34</c:f>
              <c:strCache>
                <c:ptCount val="1"/>
                <c:pt idx="0">
                  <c:v> FEBRERO </c:v>
                </c:pt>
              </c:strCache>
            </c:strRef>
          </c:tx>
          <c:spPr>
            <a:solidFill>
              <a:srgbClr val="C39DBC"/>
            </a:solidFill>
            <a:ln>
              <a:noFill/>
            </a:ln>
            <a:effectLst/>
            <a:sp3d/>
          </c:spPr>
          <c:invertIfNegative val="0"/>
          <c:val>
            <c:numRef>
              <c:f>Resultados!$D$36</c:f>
              <c:numCache>
                <c:formatCode>_("€"* #,##0.00_);_("€"* \(#,##0.00\);_("€"* "-"??_);_(@_)</c:formatCode>
                <c:ptCount val="1"/>
                <c:pt idx="0">
                  <c:v>15641.996999999999</c:v>
                </c:pt>
              </c:numCache>
            </c:numRef>
          </c:val>
          <c:extLst>
            <c:ext xmlns:c16="http://schemas.microsoft.com/office/drawing/2014/chart" uri="{C3380CC4-5D6E-409C-BE32-E72D297353CC}">
              <c16:uniqueId val="{00000001-4481-48C8-9F8B-9412BBCEBF9C}"/>
            </c:ext>
          </c:extLst>
        </c:ser>
        <c:ser>
          <c:idx val="2"/>
          <c:order val="2"/>
          <c:tx>
            <c:strRef>
              <c:f>Resultados!$E$34</c:f>
              <c:strCache>
                <c:ptCount val="1"/>
                <c:pt idx="0">
                  <c:v> MARZO </c:v>
                </c:pt>
              </c:strCache>
            </c:strRef>
          </c:tx>
          <c:spPr>
            <a:solidFill>
              <a:srgbClr val="8F70A8"/>
            </a:solidFill>
            <a:ln>
              <a:noFill/>
            </a:ln>
            <a:effectLst/>
            <a:sp3d/>
          </c:spPr>
          <c:invertIfNegative val="0"/>
          <c:val>
            <c:numRef>
              <c:f>Resultados!$E$36</c:f>
              <c:numCache>
                <c:formatCode>_("€"* #,##0.00_);_("€"* \(#,##0.00\);_("€"* "-"??_);_(@_)</c:formatCode>
                <c:ptCount val="1"/>
                <c:pt idx="0">
                  <c:v>17585.626250000001</c:v>
                </c:pt>
              </c:numCache>
            </c:numRef>
          </c:val>
          <c:extLst>
            <c:ext xmlns:c16="http://schemas.microsoft.com/office/drawing/2014/chart" uri="{C3380CC4-5D6E-409C-BE32-E72D297353CC}">
              <c16:uniqueId val="{00000002-4481-48C8-9F8B-9412BBCEBF9C}"/>
            </c:ext>
          </c:extLst>
        </c:ser>
        <c:ser>
          <c:idx val="3"/>
          <c:order val="3"/>
          <c:tx>
            <c:strRef>
              <c:f>Resultados!$F$34</c:f>
              <c:strCache>
                <c:ptCount val="1"/>
                <c:pt idx="0">
                  <c:v> ABRIL </c:v>
                </c:pt>
              </c:strCache>
            </c:strRef>
          </c:tx>
          <c:spPr>
            <a:solidFill>
              <a:srgbClr val="ADB7D7"/>
            </a:solidFill>
            <a:ln>
              <a:noFill/>
            </a:ln>
            <a:effectLst/>
            <a:sp3d/>
          </c:spPr>
          <c:invertIfNegative val="0"/>
          <c:val>
            <c:numRef>
              <c:f>Resultados!$F$36</c:f>
              <c:numCache>
                <c:formatCode>_("€"* #,##0.00_);_("€"* \(#,##0.00\);_("€"* "-"??_);_(@_)</c:formatCode>
                <c:ptCount val="1"/>
                <c:pt idx="0">
                  <c:v>17626.178500000002</c:v>
                </c:pt>
              </c:numCache>
            </c:numRef>
          </c:val>
          <c:extLst>
            <c:ext xmlns:c16="http://schemas.microsoft.com/office/drawing/2014/chart" uri="{C3380CC4-5D6E-409C-BE32-E72D297353CC}">
              <c16:uniqueId val="{00000003-4481-48C8-9F8B-9412BBCEBF9C}"/>
            </c:ext>
          </c:extLst>
        </c:ser>
        <c:ser>
          <c:idx val="4"/>
          <c:order val="4"/>
          <c:tx>
            <c:strRef>
              <c:f>Resultados!$G$34</c:f>
              <c:strCache>
                <c:ptCount val="1"/>
                <c:pt idx="0">
                  <c:v> MAYO </c:v>
                </c:pt>
              </c:strCache>
            </c:strRef>
          </c:tx>
          <c:spPr>
            <a:solidFill>
              <a:srgbClr val="79A2B5"/>
            </a:solidFill>
            <a:ln>
              <a:noFill/>
            </a:ln>
            <a:effectLst/>
            <a:sp3d/>
          </c:spPr>
          <c:invertIfNegative val="0"/>
          <c:val>
            <c:numRef>
              <c:f>Resultados!$G$36</c:f>
              <c:numCache>
                <c:formatCode>_("€"* #,##0.00_);_("€"* \(#,##0.00\);_("€"* "-"??_);_(@_)</c:formatCode>
                <c:ptCount val="1"/>
                <c:pt idx="0">
                  <c:v>18469.534250000001</c:v>
                </c:pt>
              </c:numCache>
            </c:numRef>
          </c:val>
          <c:extLst>
            <c:ext xmlns:c16="http://schemas.microsoft.com/office/drawing/2014/chart" uri="{C3380CC4-5D6E-409C-BE32-E72D297353CC}">
              <c16:uniqueId val="{00000004-4481-48C8-9F8B-9412BBCEBF9C}"/>
            </c:ext>
          </c:extLst>
        </c:ser>
        <c:ser>
          <c:idx val="5"/>
          <c:order val="5"/>
          <c:tx>
            <c:strRef>
              <c:f>Resultados!$H$34</c:f>
              <c:strCache>
                <c:ptCount val="1"/>
                <c:pt idx="0">
                  <c:v> JUNIO </c:v>
                </c:pt>
              </c:strCache>
            </c:strRef>
          </c:tx>
          <c:spPr>
            <a:solidFill>
              <a:srgbClr val="81B9A2"/>
            </a:solidFill>
            <a:ln>
              <a:noFill/>
            </a:ln>
            <a:effectLst/>
            <a:sp3d/>
          </c:spPr>
          <c:invertIfNegative val="0"/>
          <c:val>
            <c:numRef>
              <c:f>Resultados!$H$36</c:f>
              <c:numCache>
                <c:formatCode>_("€"* #,##0.00_);_("€"* \(#,##0.00\);_("€"* "-"??_);_(@_)</c:formatCode>
                <c:ptCount val="1"/>
                <c:pt idx="0">
                  <c:v>15540.58375</c:v>
                </c:pt>
              </c:numCache>
            </c:numRef>
          </c:val>
          <c:extLst>
            <c:ext xmlns:c16="http://schemas.microsoft.com/office/drawing/2014/chart" uri="{C3380CC4-5D6E-409C-BE32-E72D297353CC}">
              <c16:uniqueId val="{00000005-4481-48C8-9F8B-9412BBCEBF9C}"/>
            </c:ext>
          </c:extLst>
        </c:ser>
        <c:ser>
          <c:idx val="6"/>
          <c:order val="6"/>
          <c:tx>
            <c:strRef>
              <c:f>Resultados!$I$34</c:f>
              <c:strCache>
                <c:ptCount val="1"/>
                <c:pt idx="0">
                  <c:v> JULIO </c:v>
                </c:pt>
              </c:strCache>
            </c:strRef>
          </c:tx>
          <c:spPr>
            <a:solidFill>
              <a:srgbClr val="BCDEC5"/>
            </a:solidFill>
            <a:ln>
              <a:noFill/>
            </a:ln>
            <a:effectLst/>
            <a:sp3d/>
          </c:spPr>
          <c:invertIfNegative val="0"/>
          <c:val>
            <c:numRef>
              <c:f>Resultados!$I$36</c:f>
              <c:numCache>
                <c:formatCode>_("€"* #,##0.00_);_("€"* \(#,##0.00\);_("€"* "-"??_);_(@_)</c:formatCode>
                <c:ptCount val="1"/>
                <c:pt idx="0">
                  <c:v>18063.205000000002</c:v>
                </c:pt>
              </c:numCache>
            </c:numRef>
          </c:val>
          <c:extLst>
            <c:ext xmlns:c16="http://schemas.microsoft.com/office/drawing/2014/chart" uri="{C3380CC4-5D6E-409C-BE32-E72D297353CC}">
              <c16:uniqueId val="{00000006-4481-48C8-9F8B-9412BBCEBF9C}"/>
            </c:ext>
          </c:extLst>
        </c:ser>
        <c:ser>
          <c:idx val="7"/>
          <c:order val="7"/>
          <c:tx>
            <c:strRef>
              <c:f>Resultados!$J$34</c:f>
              <c:strCache>
                <c:ptCount val="1"/>
                <c:pt idx="0">
                  <c:v> AGOSTO </c:v>
                </c:pt>
              </c:strCache>
            </c:strRef>
          </c:tx>
          <c:spPr>
            <a:solidFill>
              <a:srgbClr val="95C773"/>
            </a:solidFill>
            <a:ln>
              <a:noFill/>
            </a:ln>
            <a:effectLst/>
            <a:sp3d/>
          </c:spPr>
          <c:invertIfNegative val="0"/>
          <c:val>
            <c:numRef>
              <c:f>Resultados!$J$36</c:f>
              <c:numCache>
                <c:formatCode>_("€"* #,##0.00_);_("€"* \(#,##0.00\);_("€"* "-"??_);_(@_)</c:formatCode>
                <c:ptCount val="1"/>
                <c:pt idx="0">
                  <c:v>18453.600250000003</c:v>
                </c:pt>
              </c:numCache>
            </c:numRef>
          </c:val>
          <c:extLst>
            <c:ext xmlns:c16="http://schemas.microsoft.com/office/drawing/2014/chart" uri="{C3380CC4-5D6E-409C-BE32-E72D297353CC}">
              <c16:uniqueId val="{00000007-4481-48C8-9F8B-9412BBCEBF9C}"/>
            </c:ext>
          </c:extLst>
        </c:ser>
        <c:ser>
          <c:idx val="8"/>
          <c:order val="8"/>
          <c:tx>
            <c:strRef>
              <c:f>Resultados!$K$34</c:f>
              <c:strCache>
                <c:ptCount val="1"/>
                <c:pt idx="0">
                  <c:v> SEPTIEMBRE </c:v>
                </c:pt>
              </c:strCache>
            </c:strRef>
          </c:tx>
          <c:spPr>
            <a:solidFill>
              <a:srgbClr val="64903C"/>
            </a:solidFill>
            <a:ln>
              <a:noFill/>
            </a:ln>
            <a:effectLst/>
            <a:sp3d/>
          </c:spPr>
          <c:invertIfNegative val="0"/>
          <c:val>
            <c:numRef>
              <c:f>Resultados!$K$36</c:f>
              <c:numCache>
                <c:formatCode>_("€"* #,##0.00_);_("€"* \(#,##0.00\);_("€"* "-"??_);_(@_)</c:formatCode>
                <c:ptCount val="1"/>
                <c:pt idx="0">
                  <c:v>18103.491249999999</c:v>
                </c:pt>
              </c:numCache>
            </c:numRef>
          </c:val>
          <c:extLst>
            <c:ext xmlns:c16="http://schemas.microsoft.com/office/drawing/2014/chart" uri="{C3380CC4-5D6E-409C-BE32-E72D297353CC}">
              <c16:uniqueId val="{00000008-4481-48C8-9F8B-9412BBCEBF9C}"/>
            </c:ext>
          </c:extLst>
        </c:ser>
        <c:ser>
          <c:idx val="9"/>
          <c:order val="9"/>
          <c:tx>
            <c:strRef>
              <c:f>Resultados!$L$34</c:f>
              <c:strCache>
                <c:ptCount val="1"/>
                <c:pt idx="0">
                  <c:v> OCTUBRE </c:v>
                </c:pt>
              </c:strCache>
            </c:strRef>
          </c:tx>
          <c:spPr>
            <a:solidFill>
              <a:srgbClr val="CED69E"/>
            </a:solidFill>
            <a:ln>
              <a:noFill/>
            </a:ln>
            <a:effectLst/>
            <a:sp3d/>
          </c:spPr>
          <c:invertIfNegative val="0"/>
          <c:val>
            <c:numRef>
              <c:f>Resultados!$L$36</c:f>
              <c:numCache>
                <c:formatCode>_("€"* #,##0.00_);_("€"* \(#,##0.00\);_("€"* "-"??_);_(@_)</c:formatCode>
                <c:ptCount val="1"/>
                <c:pt idx="0">
                  <c:v>16193.9925</c:v>
                </c:pt>
              </c:numCache>
            </c:numRef>
          </c:val>
          <c:extLst>
            <c:ext xmlns:c16="http://schemas.microsoft.com/office/drawing/2014/chart" uri="{C3380CC4-5D6E-409C-BE32-E72D297353CC}">
              <c16:uniqueId val="{00000009-4481-48C8-9F8B-9412BBCEBF9C}"/>
            </c:ext>
          </c:extLst>
        </c:ser>
        <c:ser>
          <c:idx val="10"/>
          <c:order val="10"/>
          <c:tx>
            <c:strRef>
              <c:f>Resultados!$M$34</c:f>
              <c:strCache>
                <c:ptCount val="1"/>
                <c:pt idx="0">
                  <c:v> NOVIEMBRE </c:v>
                </c:pt>
              </c:strCache>
            </c:strRef>
          </c:tx>
          <c:spPr>
            <a:solidFill>
              <a:srgbClr val="C1CA6C"/>
            </a:solidFill>
            <a:ln>
              <a:noFill/>
            </a:ln>
            <a:effectLst/>
            <a:sp3d/>
          </c:spPr>
          <c:invertIfNegative val="0"/>
          <c:val>
            <c:numRef>
              <c:f>Resultados!$M$36</c:f>
              <c:numCache>
                <c:formatCode>_("€"* #,##0.00_);_("€"* \(#,##0.00\);_("€"* "-"??_);_(@_)</c:formatCode>
                <c:ptCount val="1"/>
                <c:pt idx="0">
                  <c:v>17134.958250000003</c:v>
                </c:pt>
              </c:numCache>
            </c:numRef>
          </c:val>
          <c:extLst>
            <c:ext xmlns:c16="http://schemas.microsoft.com/office/drawing/2014/chart" uri="{C3380CC4-5D6E-409C-BE32-E72D297353CC}">
              <c16:uniqueId val="{0000000A-4481-48C8-9F8B-9412BBCEBF9C}"/>
            </c:ext>
          </c:extLst>
        </c:ser>
        <c:ser>
          <c:idx val="11"/>
          <c:order val="11"/>
          <c:tx>
            <c:strRef>
              <c:f>Resultados!$N$34</c:f>
              <c:strCache>
                <c:ptCount val="1"/>
                <c:pt idx="0">
                  <c:v> DICIEMBRE </c:v>
                </c:pt>
              </c:strCache>
            </c:strRef>
          </c:tx>
          <c:spPr>
            <a:solidFill>
              <a:schemeClr val="accent6">
                <a:lumMod val="60000"/>
              </a:schemeClr>
            </a:solidFill>
            <a:ln>
              <a:noFill/>
            </a:ln>
            <a:effectLst/>
            <a:sp3d/>
          </c:spPr>
          <c:invertIfNegative val="0"/>
          <c:val>
            <c:numRef>
              <c:f>Resultados!$N$36</c:f>
              <c:numCache>
                <c:formatCode>_("€"* #,##0.00_);_("€"* \(#,##0.00\);_("€"* "-"??_);_(@_)</c:formatCode>
                <c:ptCount val="1"/>
                <c:pt idx="0">
                  <c:v>17470.135750000001</c:v>
                </c:pt>
              </c:numCache>
            </c:numRef>
          </c:val>
          <c:extLst>
            <c:ext xmlns:c16="http://schemas.microsoft.com/office/drawing/2014/chart" uri="{C3380CC4-5D6E-409C-BE32-E72D297353CC}">
              <c16:uniqueId val="{0000000B-4481-48C8-9F8B-9412BBCEBF9C}"/>
            </c:ext>
          </c:extLst>
        </c:ser>
        <c:dLbls>
          <c:showLegendKey val="0"/>
          <c:showVal val="0"/>
          <c:showCatName val="0"/>
          <c:showSerName val="0"/>
          <c:showPercent val="0"/>
          <c:showBubbleSize val="0"/>
        </c:dLbls>
        <c:gapWidth val="150"/>
        <c:shape val="box"/>
        <c:axId val="-2117150992"/>
        <c:axId val="-2117151536"/>
        <c:axId val="0"/>
      </c:bar3DChart>
      <c:catAx>
        <c:axId val="-211715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7151536"/>
        <c:crosses val="autoZero"/>
        <c:auto val="1"/>
        <c:lblAlgn val="ctr"/>
        <c:lblOffset val="100"/>
        <c:noMultiLvlLbl val="0"/>
      </c:catAx>
      <c:valAx>
        <c:axId val="-21171515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715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r>
              <a:rPr lang="es-ES" sz="1800" i="1">
                <a:solidFill>
                  <a:schemeClr val="tx1">
                    <a:lumMod val="75000"/>
                    <a:lumOff val="25000"/>
                  </a:schemeClr>
                </a:solidFill>
                <a:latin typeface="Times New Roman" panose="02020603050405020304" pitchFamily="18" charset="0"/>
                <a:cs typeface="Times New Roman" panose="02020603050405020304" pitchFamily="18" charset="0"/>
              </a:rPr>
              <a:t>TESORERÍA</a:t>
            </a:r>
            <a:r>
              <a:rPr lang="es-ES" sz="1800" i="1" baseline="0">
                <a:solidFill>
                  <a:schemeClr val="tx1">
                    <a:lumMod val="75000"/>
                    <a:lumOff val="25000"/>
                  </a:schemeClr>
                </a:solidFill>
                <a:latin typeface="Times New Roman" panose="02020603050405020304" pitchFamily="18" charset="0"/>
                <a:cs typeface="Times New Roman" panose="02020603050405020304" pitchFamily="18" charset="0"/>
              </a:rPr>
              <a:t> </a:t>
            </a:r>
            <a:r>
              <a:rPr lang="es-ES" sz="1800" i="1">
                <a:solidFill>
                  <a:schemeClr val="tx1">
                    <a:lumMod val="75000"/>
                    <a:lumOff val="25000"/>
                  </a:schemeClr>
                </a:solidFill>
                <a:latin typeface="Times New Roman" panose="02020603050405020304" pitchFamily="18" charset="0"/>
                <a:cs typeface="Times New Roman" panose="02020603050405020304" pitchFamily="18" charset="0"/>
              </a:rPr>
              <a:t>2022</a:t>
            </a:r>
          </a:p>
        </c:rich>
      </c:tx>
      <c:overlay val="0"/>
      <c:spPr>
        <a:solidFill>
          <a:srgbClr val="AEDCAC"/>
        </a:solidFill>
        <a:ln>
          <a:noFill/>
        </a:ln>
        <a:effectLst>
          <a:outerShdw blurRad="50800" dist="38100" dir="2700000" algn="tl" rotWithShape="0">
            <a:prstClr val="black">
              <a:alpha val="40000"/>
            </a:prstClr>
          </a:outerShdw>
        </a:effectLst>
        <a:scene3d>
          <a:camera prst="orthographicFront"/>
          <a:lightRig rig="threePt" dir="t"/>
        </a:scene3d>
        <a:sp3d>
          <a:bevelT/>
        </a:sp3d>
      </c:spPr>
      <c:txPr>
        <a:bodyPr rot="0" spcFirstLastPara="1" vertOverflow="ellipsis" vert="horz" wrap="square" anchor="ctr" anchorCtr="1"/>
        <a:lstStyle/>
        <a:p>
          <a:pPr>
            <a:defRPr sz="1600" b="1"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spPr>
            <a:solidFill>
              <a:srgbClr val="D5EFE3"/>
            </a:solidFill>
            <a:ln>
              <a:noFill/>
            </a:ln>
            <a:effectLst>
              <a:outerShdw blurRad="57150" dist="19050" dir="5400000" algn="ctr" rotWithShape="0">
                <a:srgbClr val="000000">
                  <a:alpha val="63000"/>
                </a:srgbClr>
              </a:outerShdw>
            </a:effectLst>
            <a:sp3d/>
          </c:spPr>
          <c:cat>
            <c:strRef>
              <c:f>TESORERÍA!$C$6:$N$6</c:f>
              <c:strCache>
                <c:ptCount val="12"/>
                <c:pt idx="0">
                  <c:v> ENERO </c:v>
                </c:pt>
                <c:pt idx="1">
                  <c:v> FEBRERO </c:v>
                </c:pt>
                <c:pt idx="2">
                  <c:v> MARZO </c:v>
                </c:pt>
                <c:pt idx="3">
                  <c:v> ABRIL </c:v>
                </c:pt>
                <c:pt idx="4">
                  <c:v> MAYO </c:v>
                </c:pt>
                <c:pt idx="5">
                  <c:v> JUNIO </c:v>
                </c:pt>
                <c:pt idx="6">
                  <c:v> JULIO </c:v>
                </c:pt>
                <c:pt idx="7">
                  <c:v> AGOSTO </c:v>
                </c:pt>
                <c:pt idx="8">
                  <c:v> SEPTIEMBRE </c:v>
                </c:pt>
                <c:pt idx="9">
                  <c:v> OCTUBRE </c:v>
                </c:pt>
                <c:pt idx="10">
                  <c:v> NOVIEMBRE </c:v>
                </c:pt>
                <c:pt idx="11">
                  <c:v> DICIEMBRE </c:v>
                </c:pt>
              </c:strCache>
            </c:strRef>
          </c:cat>
          <c:val>
            <c:numRef>
              <c:f>TESORERÍA!$C$56:$N$56</c:f>
              <c:numCache>
                <c:formatCode>_("€"* #,##0.00_);_("€"* \(#,##0.00\);_("€"* "-"??_);_(@_)</c:formatCode>
                <c:ptCount val="12"/>
                <c:pt idx="0">
                  <c:v>24989.234432500001</c:v>
                </c:pt>
                <c:pt idx="1">
                  <c:v>29677.895144166672</c:v>
                </c:pt>
                <c:pt idx="2">
                  <c:v>36965.528248333343</c:v>
                </c:pt>
                <c:pt idx="3">
                  <c:v>34194.480210000009</c:v>
                </c:pt>
                <c:pt idx="4">
                  <c:v>42551.641994166675</c:v>
                </c:pt>
                <c:pt idx="5">
                  <c:v>47117.592673333347</c:v>
                </c:pt>
                <c:pt idx="6">
                  <c:v>43620.393600000018</c:v>
                </c:pt>
                <c:pt idx="7">
                  <c:v>51711.094244166692</c:v>
                </c:pt>
                <c:pt idx="8">
                  <c:v>59625.343998333359</c:v>
                </c:pt>
                <c:pt idx="9">
                  <c:v>52952.195800000023</c:v>
                </c:pt>
                <c:pt idx="10">
                  <c:v>59694.520624166689</c:v>
                </c:pt>
                <c:pt idx="11">
                  <c:v>66595.229223333357</c:v>
                </c:pt>
              </c:numCache>
            </c:numRef>
          </c:val>
          <c:smooth val="0"/>
          <c:extLst>
            <c:ext xmlns:c16="http://schemas.microsoft.com/office/drawing/2014/chart" uri="{C3380CC4-5D6E-409C-BE32-E72D297353CC}">
              <c16:uniqueId val="{00000000-087E-4326-8476-44FFEA0C1BB7}"/>
            </c:ext>
          </c:extLst>
        </c:ser>
        <c:dLbls>
          <c:showLegendKey val="0"/>
          <c:showVal val="0"/>
          <c:showCatName val="0"/>
          <c:showSerName val="0"/>
          <c:showPercent val="0"/>
          <c:showBubbleSize val="0"/>
        </c:dLbls>
        <c:axId val="-1962095360"/>
        <c:axId val="-1962092096"/>
        <c:axId val="-1950244800"/>
      </c:line3DChart>
      <c:catAx>
        <c:axId val="-196209536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s-ES"/>
          </a:p>
        </c:txPr>
        <c:crossAx val="-1962092096"/>
        <c:crosses val="autoZero"/>
        <c:auto val="1"/>
        <c:lblAlgn val="ctr"/>
        <c:lblOffset val="100"/>
        <c:noMultiLvlLbl val="0"/>
      </c:catAx>
      <c:valAx>
        <c:axId val="-1962092096"/>
        <c:scaling>
          <c:orientation val="minMax"/>
        </c:scaling>
        <c:delete val="0"/>
        <c:axPos val="l"/>
        <c:majorGridlines>
          <c:spPr>
            <a:ln w="9525" cap="flat" cmpd="sng" algn="ctr">
              <a:solidFill>
                <a:schemeClr val="dk1">
                  <a:lumMod val="50000"/>
                  <a:lumOff val="5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lumMod val="85000"/>
                  </a:schemeClr>
                </a:solidFill>
                <a:latin typeface="+mn-lt"/>
                <a:ea typeface="+mn-ea"/>
                <a:cs typeface="+mn-cs"/>
              </a:defRPr>
            </a:pPr>
            <a:endParaRPr lang="es-ES"/>
          </a:p>
        </c:txPr>
        <c:crossAx val="-1962095360"/>
        <c:crosses val="autoZero"/>
        <c:crossBetween val="between"/>
      </c:valAx>
      <c:serAx>
        <c:axId val="-1950244800"/>
        <c:scaling>
          <c:orientation val="minMax"/>
        </c:scaling>
        <c:delete val="1"/>
        <c:axPos val="b"/>
        <c:majorTickMark val="out"/>
        <c:minorTickMark val="none"/>
        <c:tickLblPos val="nextTo"/>
        <c:crossAx val="-1962092096"/>
        <c:crosses val="autoZero"/>
      </c:serAx>
      <c:spPr>
        <a:noFill/>
        <a:ln>
          <a:noFill/>
        </a:ln>
        <a:effectLst/>
      </c:spPr>
    </c:plotArea>
    <c:plotVisOnly val="1"/>
    <c:dispBlanksAs val="gap"/>
    <c:showDLblsOverMax val="0"/>
  </c:chart>
  <c:spPr>
    <a:solidFill>
      <a:srgbClr val="587D82"/>
    </a:solidFill>
    <a:ln>
      <a:noFill/>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1" u="sng" strike="noStrike" kern="1200" cap="all" baseline="0">
                <a:solidFill>
                  <a:srgbClr val="426A72"/>
                </a:solidFill>
                <a:latin typeface="+mn-lt"/>
                <a:ea typeface="+mn-ea"/>
                <a:cs typeface="+mn-cs"/>
              </a:defRPr>
            </a:pPr>
            <a:r>
              <a:rPr lang="es-ES" sz="2400" i="1" u="sng">
                <a:solidFill>
                  <a:srgbClr val="426A72"/>
                </a:solidFill>
              </a:rPr>
              <a:t>inversión</a:t>
            </a:r>
          </a:p>
        </c:rich>
      </c:tx>
      <c:layout>
        <c:manualLayout>
          <c:xMode val="edge"/>
          <c:yMode val="edge"/>
          <c:x val="0.33493354445984885"/>
          <c:y val="1.1748172313648978E-2"/>
        </c:manualLayout>
      </c:layout>
      <c:overlay val="0"/>
      <c:spPr>
        <a:noFill/>
        <a:ln>
          <a:noFill/>
        </a:ln>
        <a:effectLst/>
      </c:spPr>
      <c:txPr>
        <a:bodyPr rot="0" spcFirstLastPara="1" vertOverflow="ellipsis" vert="horz" wrap="square" anchor="ctr" anchorCtr="1"/>
        <a:lstStyle/>
        <a:p>
          <a:pPr>
            <a:defRPr sz="2400" b="1" i="1" u="sng" strike="noStrike" kern="1200" cap="all" baseline="0">
              <a:solidFill>
                <a:srgbClr val="426A72"/>
              </a:solidFill>
              <a:latin typeface="+mn-lt"/>
              <a:ea typeface="+mn-ea"/>
              <a:cs typeface="+mn-cs"/>
            </a:defRPr>
          </a:pPr>
          <a:endParaRPr lang="es-E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19349788025626E-2"/>
          <c:y val="0.22862066172082782"/>
          <c:w val="0.82821910032875601"/>
          <c:h val="0.48910756149369067"/>
        </c:manualLayout>
      </c:layout>
      <c:pie3DChart>
        <c:varyColors val="1"/>
        <c:ser>
          <c:idx val="0"/>
          <c:order val="0"/>
          <c:dPt>
            <c:idx val="0"/>
            <c:bubble3D val="0"/>
            <c:spPr>
              <a:solidFill>
                <a:srgbClr val="A0E6E8"/>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70A-471D-A646-7321DE63BA03}"/>
              </c:ext>
            </c:extLst>
          </c:dPt>
          <c:dPt>
            <c:idx val="1"/>
            <c:bubble3D val="0"/>
            <c:spPr>
              <a:solidFill>
                <a:srgbClr val="D2E5C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70A-471D-A646-7321DE63BA03}"/>
              </c:ext>
            </c:extLst>
          </c:dPt>
          <c:dPt>
            <c:idx val="2"/>
            <c:bubble3D val="0"/>
            <c:spPr>
              <a:solidFill>
                <a:srgbClr val="ADCBA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70A-471D-A646-7321DE63BA03}"/>
              </c:ext>
            </c:extLst>
          </c:dPt>
          <c:dPt>
            <c:idx val="3"/>
            <c:bubble3D val="0"/>
            <c:spPr>
              <a:solidFill>
                <a:srgbClr val="C7DB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70A-471D-A646-7321DE63BA03}"/>
              </c:ext>
            </c:extLst>
          </c:dPt>
          <c:dPt>
            <c:idx val="4"/>
            <c:bubble3D val="0"/>
            <c:spPr>
              <a:solidFill>
                <a:srgbClr val="88C6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070A-471D-A646-7321DE63BA03}"/>
              </c:ext>
            </c:extLst>
          </c:dPt>
          <c:dLbls>
            <c:dLbl>
              <c:idx val="0"/>
              <c:layout>
                <c:manualLayout>
                  <c:x val="-3.4010303515179183E-2"/>
                  <c:y val="-1.59203980099502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0E6E8"/>
                      </a:solidFill>
                      <a:latin typeface="+mn-lt"/>
                      <a:ea typeface="+mn-ea"/>
                      <a:cs typeface="+mn-cs"/>
                    </a:defRPr>
                  </a:pPr>
                  <a:endParaRPr lang="es-E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70A-471D-A646-7321DE63BA03}"/>
                </c:ext>
              </c:extLst>
            </c:dLbl>
            <c:dLbl>
              <c:idx val="1"/>
              <c:layout>
                <c:manualLayout>
                  <c:x val="-2.1256439696987722E-3"/>
                  <c:y val="-3.58208955223880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D2E5C9"/>
                      </a:solidFill>
                      <a:latin typeface="+mn-lt"/>
                      <a:ea typeface="+mn-ea"/>
                      <a:cs typeface="+mn-cs"/>
                    </a:defRPr>
                  </a:pPr>
                  <a:endParaRPr lang="es-E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70A-471D-A646-7321DE63BA03}"/>
                </c:ext>
              </c:extLst>
            </c:dLbl>
            <c:dLbl>
              <c:idx val="2"/>
              <c:layout>
                <c:manualLayout>
                  <c:x val="-4.2512879393974664E-3"/>
                  <c:y val="-1.19402985074627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DCBA5"/>
                      </a:solidFill>
                      <a:latin typeface="+mn-lt"/>
                      <a:ea typeface="+mn-ea"/>
                      <a:cs typeface="+mn-cs"/>
                    </a:defRPr>
                  </a:pPr>
                  <a:endParaRPr lang="es-E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70A-471D-A646-7321DE63BA03}"/>
                </c:ext>
              </c:extLst>
            </c:dLbl>
            <c:dLbl>
              <c:idx val="3"/>
              <c:layout>
                <c:manualLayout>
                  <c:x val="3.1884659545480337E-2"/>
                  <c:y val="-4.37810945273632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7DBCC"/>
                      </a:solidFill>
                      <a:latin typeface="+mn-lt"/>
                      <a:ea typeface="+mn-ea"/>
                      <a:cs typeface="+mn-cs"/>
                    </a:defRPr>
                  </a:pPr>
                  <a:endParaRPr lang="es-E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70A-471D-A646-7321DE63BA03}"/>
                </c:ext>
              </c:extLst>
            </c:dLbl>
            <c:dLbl>
              <c:idx val="4"/>
              <c:layout>
                <c:manualLayout>
                  <c:x val="4.4638523363672418E-2"/>
                  <c:y val="7.9601990049751065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88C6A0"/>
                      </a:solidFill>
                      <a:latin typeface="+mn-lt"/>
                      <a:ea typeface="+mn-ea"/>
                      <a:cs typeface="+mn-cs"/>
                    </a:defRPr>
                  </a:pPr>
                  <a:endParaRPr lang="es-E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70A-471D-A646-7321DE63BA03}"/>
                </c:ext>
              </c:extLst>
            </c:dLbl>
            <c:spPr>
              <a:noFill/>
              <a:ln>
                <a:noFill/>
              </a:ln>
              <a:effectLst/>
            </c:sp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'INVERSIÓN Y AMORT.'!$B$5:$B$9</c:f>
              <c:strCache>
                <c:ptCount val="5"/>
                <c:pt idx="0">
                  <c:v>APLICACIONES INFORMÁTICAS</c:v>
                </c:pt>
                <c:pt idx="1">
                  <c:v>MOBILIARIO</c:v>
                </c:pt>
                <c:pt idx="2">
                  <c:v>EQUIPOS PARA EL PROCESO DE INFORMACIÓN</c:v>
                </c:pt>
                <c:pt idx="3">
                  <c:v>OTRO INMOVILIZADO MATERIAL</c:v>
                </c:pt>
                <c:pt idx="4">
                  <c:v>OTRAS INSTALACIONES</c:v>
                </c:pt>
              </c:strCache>
            </c:strRef>
          </c:cat>
          <c:val>
            <c:numRef>
              <c:f>'INVERSIÓN Y AMORT.'!$C$5:$C$9</c:f>
              <c:numCache>
                <c:formatCode>"€"#,##0.00_);[Red]\("€"#,##0.00\)</c:formatCode>
                <c:ptCount val="5"/>
                <c:pt idx="0" formatCode="_(&quot;€&quot;* #,##0.00_);_(&quot;€&quot;* \(#,##0.00\);_(&quot;€&quot;* &quot;-&quot;??_);_(@_)">
                  <c:v>561.28</c:v>
                </c:pt>
                <c:pt idx="1">
                  <c:v>2282.6999999999998</c:v>
                </c:pt>
                <c:pt idx="2" formatCode="_(&quot;€&quot;* #,##0.00_);_(&quot;€&quot;* \(#,##0.00\);_(&quot;€&quot;* &quot;-&quot;??_);_(@_)">
                  <c:v>1095</c:v>
                </c:pt>
                <c:pt idx="3" formatCode="_(&quot;€&quot;* #,##0.00_);_(&quot;€&quot;* \(#,##0.00\);_(&quot;€&quot;* &quot;-&quot;??_);_(@_)">
                  <c:v>154.94999999999999</c:v>
                </c:pt>
                <c:pt idx="4" formatCode="_(&quot;€&quot;* #,##0.00_);_(&quot;€&quot;* \(#,##0.00\);_(&quot;€&quot;* &quot;-&quot;??_);_(@_)">
                  <c:v>1332.97</c:v>
                </c:pt>
              </c:numCache>
            </c:numRef>
          </c:val>
          <c:extLst>
            <c:ext xmlns:c16="http://schemas.microsoft.com/office/drawing/2014/chart" uri="{C3380CC4-5D6E-409C-BE32-E72D297353CC}">
              <c16:uniqueId val="{0000000C-070A-471D-A646-7321DE63BA03}"/>
            </c:ext>
          </c:extLst>
        </c:ser>
        <c:dLbls>
          <c:dLblPos val="outEnd"/>
          <c:showLegendKey val="0"/>
          <c:showVal val="0"/>
          <c:showCatName val="0"/>
          <c:showSerName val="0"/>
          <c:showPercent val="1"/>
          <c:showBubbleSize val="0"/>
          <c:showLeaderLines val="1"/>
        </c:dLbls>
      </c:pie3DChart>
      <c:spPr>
        <a:noFill/>
        <a:ln>
          <a:noFill/>
        </a:ln>
        <a:effectLst/>
      </c:spPr>
    </c:plotArea>
    <c:legend>
      <c:legendPos val="b"/>
      <c:layout>
        <c:manualLayout>
          <c:xMode val="edge"/>
          <c:yMode val="edge"/>
          <c:x val="7.7524607322920186E-2"/>
          <c:y val="0.69677980292029806"/>
          <c:w val="0.89586796640453226"/>
          <c:h val="0.222636455303096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g"/></Relationships>
</file>

<file path=xl/drawings/_rels/drawing11.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xdr:col>
      <xdr:colOff>53975</xdr:colOff>
      <xdr:row>49</xdr:row>
      <xdr:rowOff>177800</xdr:rowOff>
    </xdr:from>
    <xdr:to>
      <xdr:col>7</xdr:col>
      <xdr:colOff>508000</xdr:colOff>
      <xdr:row>70</xdr:row>
      <xdr:rowOff>69850</xdr:rowOff>
    </xdr:to>
    <xdr:graphicFrame macro="">
      <xdr:nvGraphicFramePr>
        <xdr:cNvPr id="2" name="Gráfico 1">
          <a:extLst>
            <a:ext uri="{FF2B5EF4-FFF2-40B4-BE49-F238E27FC236}">
              <a16:creationId xmlns:a16="http://schemas.microsoft.com/office/drawing/2014/main" id="{1B4365A4-3F52-42A3-9CF4-DC821DE4F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195262</xdr:colOff>
      <xdr:row>57</xdr:row>
      <xdr:rowOff>147637</xdr:rowOff>
    </xdr:from>
    <xdr:to>
      <xdr:col>10</xdr:col>
      <xdr:colOff>733425</xdr:colOff>
      <xdr:row>74</xdr:row>
      <xdr:rowOff>0</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161584</xdr:colOff>
      <xdr:row>11</xdr:row>
      <xdr:rowOff>93549</xdr:rowOff>
    </xdr:from>
    <xdr:to>
      <xdr:col>2</xdr:col>
      <xdr:colOff>943994</xdr:colOff>
      <xdr:row>29</xdr:row>
      <xdr:rowOff>42523</xdr:rowOff>
    </xdr:to>
    <xdr:graphicFrame macro="">
      <xdr:nvGraphicFramePr>
        <xdr:cNvPr id="2" name="Gráfico 1">
          <a:extLst>
            <a:ext uri="{FF2B5EF4-FFF2-40B4-BE49-F238E27FC236}">
              <a16:creationId xmlns:a16="http://schemas.microsoft.com/office/drawing/2014/main" id="{EBD64281-E9D7-432C-B6C4-40F2C4252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xdr:col>
      <xdr:colOff>1295400</xdr:colOff>
      <xdr:row>0</xdr:row>
      <xdr:rowOff>142875</xdr:rowOff>
    </xdr:from>
    <xdr:ext cx="2750344" cy="628650"/>
    <xdr:pic>
      <xdr:nvPicPr>
        <xdr:cNvPr id="2" name="Imagen 1">
          <a:extLst>
            <a:ext uri="{FF2B5EF4-FFF2-40B4-BE49-F238E27FC236}">
              <a16:creationId xmlns:a16="http://schemas.microsoft.com/office/drawing/2014/main" id="{2AFD8C11-F65C-4192-996E-EFC9B49CE2A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000" t="36000" b="40000"/>
        <a:stretch/>
      </xdr:blipFill>
      <xdr:spPr>
        <a:xfrm>
          <a:off x="1219200" y="142875"/>
          <a:ext cx="2750344" cy="6286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152401</xdr:colOff>
      <xdr:row>0</xdr:row>
      <xdr:rowOff>1</xdr:rowOff>
    </xdr:from>
    <xdr:to>
      <xdr:col>2</xdr:col>
      <xdr:colOff>962025</xdr:colOff>
      <xdr:row>0</xdr:row>
      <xdr:rowOff>1150133</xdr:rowOff>
    </xdr:to>
    <xdr:pic>
      <xdr:nvPicPr>
        <xdr:cNvPr id="3" name="Imagen 2">
          <a:extLst>
            <a:ext uri="{FF2B5EF4-FFF2-40B4-BE49-F238E27FC236}">
              <a16:creationId xmlns:a16="http://schemas.microsoft.com/office/drawing/2014/main" id="{F541BD22-F911-4C31-BBDA-6F8D06C91BE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1029" t="11339" r="10416" b="16280"/>
        <a:stretch/>
      </xdr:blipFill>
      <xdr:spPr>
        <a:xfrm>
          <a:off x="352426" y="1"/>
          <a:ext cx="2457449" cy="11501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1533525</xdr:colOff>
      <xdr:row>0</xdr:row>
      <xdr:rowOff>1733550</xdr:rowOff>
    </xdr:to>
    <xdr:pic>
      <xdr:nvPicPr>
        <xdr:cNvPr id="3" name="Imagen 2">
          <a:extLst>
            <a:ext uri="{FF2B5EF4-FFF2-40B4-BE49-F238E27FC236}">
              <a16:creationId xmlns:a16="http://schemas.microsoft.com/office/drawing/2014/main" id="{4EF22048-46F4-4390-8DFE-467D43229E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33550" cy="17335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104775</xdr:colOff>
      <xdr:row>0</xdr:row>
      <xdr:rowOff>47625</xdr:rowOff>
    </xdr:from>
    <xdr:to>
      <xdr:col>2</xdr:col>
      <xdr:colOff>799449</xdr:colOff>
      <xdr:row>0</xdr:row>
      <xdr:rowOff>1238250</xdr:rowOff>
    </xdr:to>
    <xdr:pic>
      <xdr:nvPicPr>
        <xdr:cNvPr id="3" name="Imagen 2">
          <a:extLst>
            <a:ext uri="{FF2B5EF4-FFF2-40B4-BE49-F238E27FC236}">
              <a16:creationId xmlns:a16="http://schemas.microsoft.com/office/drawing/2014/main" id="{BE1BC750-91C3-4897-AB19-9911871D2A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0550" y="47625"/>
          <a:ext cx="1180449" cy="11906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2</xdr:col>
      <xdr:colOff>9526</xdr:colOff>
      <xdr:row>0</xdr:row>
      <xdr:rowOff>28575</xdr:rowOff>
    </xdr:from>
    <xdr:ext cx="2095500" cy="1026147"/>
    <xdr:pic>
      <xdr:nvPicPr>
        <xdr:cNvPr id="2" name="Imagen 1">
          <a:extLst>
            <a:ext uri="{FF2B5EF4-FFF2-40B4-BE49-F238E27FC236}">
              <a16:creationId xmlns:a16="http://schemas.microsoft.com/office/drawing/2014/main" id="{A34FDEA8-3962-42A9-AA81-CBB075A887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8726" y="28575"/>
          <a:ext cx="2095500" cy="1026147"/>
        </a:xfrm>
        <a:prstGeom prst="rect">
          <a:avLst/>
        </a:prstGeom>
      </xdr:spPr>
    </xdr:pic>
    <xdr:clientData/>
  </xdr:oneCellAnchor>
  <xdr:oneCellAnchor>
    <xdr:from>
      <xdr:col>1</xdr:col>
      <xdr:colOff>95249</xdr:colOff>
      <xdr:row>9</xdr:row>
      <xdr:rowOff>342900</xdr:rowOff>
    </xdr:from>
    <xdr:ext cx="7219951" cy="929898"/>
    <xdr:pic>
      <xdr:nvPicPr>
        <xdr:cNvPr id="3" name="Imagen 2">
          <a:extLst>
            <a:ext uri="{FF2B5EF4-FFF2-40B4-BE49-F238E27FC236}">
              <a16:creationId xmlns:a16="http://schemas.microsoft.com/office/drawing/2014/main" id="{884EF218-0A6E-4A9C-B598-012F6D576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04849" y="1619250"/>
          <a:ext cx="7219951" cy="929898"/>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47625</xdr:colOff>
      <xdr:row>0</xdr:row>
      <xdr:rowOff>219075</xdr:rowOff>
    </xdr:from>
    <xdr:ext cx="2295525" cy="1141278"/>
    <xdr:pic>
      <xdr:nvPicPr>
        <xdr:cNvPr id="2" name="Imagen 1">
          <a:extLst>
            <a:ext uri="{FF2B5EF4-FFF2-40B4-BE49-F238E27FC236}">
              <a16:creationId xmlns:a16="http://schemas.microsoft.com/office/drawing/2014/main" id="{FE94E11D-21D3-442C-88A7-0A414C4389B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5424" b="24859"/>
        <a:stretch/>
      </xdr:blipFill>
      <xdr:spPr>
        <a:xfrm>
          <a:off x="733425" y="161925"/>
          <a:ext cx="2295525" cy="1141278"/>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617114</xdr:colOff>
      <xdr:row>0</xdr:row>
      <xdr:rowOff>0</xdr:rowOff>
    </xdr:from>
    <xdr:ext cx="3219718" cy="1519707"/>
    <xdr:pic>
      <xdr:nvPicPr>
        <xdr:cNvPr id="2" name="Imagen 1">
          <a:extLst>
            <a:ext uri="{FF2B5EF4-FFF2-40B4-BE49-F238E27FC236}">
              <a16:creationId xmlns:a16="http://schemas.microsoft.com/office/drawing/2014/main" id="{42EBE231-4069-489D-B779-9F040133B06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614" t="11444" r="6550" b="10652"/>
        <a:stretch/>
      </xdr:blipFill>
      <xdr:spPr>
        <a:xfrm>
          <a:off x="1302914" y="0"/>
          <a:ext cx="3219718" cy="1519707"/>
        </a:xfrm>
        <a:prstGeom prst="rect">
          <a:avLst/>
        </a:prstGeom>
      </xdr:spPr>
    </xdr:pic>
    <xdr:clientData/>
  </xdr:oneCellAnchor>
  <xdr:oneCellAnchor>
    <xdr:from>
      <xdr:col>3</xdr:col>
      <xdr:colOff>1923273</xdr:colOff>
      <xdr:row>0</xdr:row>
      <xdr:rowOff>0</xdr:rowOff>
    </xdr:from>
    <xdr:ext cx="2633368" cy="1207394"/>
    <xdr:pic>
      <xdr:nvPicPr>
        <xdr:cNvPr id="3" name="Imagen 2">
          <a:extLst>
            <a:ext uri="{FF2B5EF4-FFF2-40B4-BE49-F238E27FC236}">
              <a16:creationId xmlns:a16="http://schemas.microsoft.com/office/drawing/2014/main" id="{3CC8E9F8-072A-4B94-9ABA-072B2CAE54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42423" y="0"/>
          <a:ext cx="2633368" cy="1207394"/>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26564</xdr:colOff>
      <xdr:row>0</xdr:row>
      <xdr:rowOff>38101</xdr:rowOff>
    </xdr:from>
    <xdr:ext cx="2135611" cy="1006674"/>
    <xdr:pic>
      <xdr:nvPicPr>
        <xdr:cNvPr id="2" name="Imagen 1">
          <a:extLst>
            <a:ext uri="{FF2B5EF4-FFF2-40B4-BE49-F238E27FC236}">
              <a16:creationId xmlns:a16="http://schemas.microsoft.com/office/drawing/2014/main" id="{44D18909-51B5-454C-883F-5AD0755C23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614" t="11444" r="6550" b="10652"/>
        <a:stretch/>
      </xdr:blipFill>
      <xdr:spPr>
        <a:xfrm>
          <a:off x="712364" y="38101"/>
          <a:ext cx="2135611" cy="1006674"/>
        </a:xfrm>
        <a:prstGeom prst="rect">
          <a:avLst/>
        </a:prstGeom>
      </xdr:spPr>
    </xdr:pic>
    <xdr:clientData/>
  </xdr:oneCellAnchor>
  <xdr:oneCellAnchor>
    <xdr:from>
      <xdr:col>3</xdr:col>
      <xdr:colOff>1714500</xdr:colOff>
      <xdr:row>0</xdr:row>
      <xdr:rowOff>0</xdr:rowOff>
    </xdr:from>
    <xdr:ext cx="1905266" cy="866896"/>
    <xdr:pic>
      <xdr:nvPicPr>
        <xdr:cNvPr id="3" name="Imagen 2">
          <a:extLst>
            <a:ext uri="{FF2B5EF4-FFF2-40B4-BE49-F238E27FC236}">
              <a16:creationId xmlns:a16="http://schemas.microsoft.com/office/drawing/2014/main" id="{9A36D66E-EB54-452C-A422-998A81558A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43200" y="0"/>
          <a:ext cx="1905266" cy="86689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171450</xdr:colOff>
      <xdr:row>0</xdr:row>
      <xdr:rowOff>19049</xdr:rowOff>
    </xdr:from>
    <xdr:ext cx="1857027" cy="695325"/>
    <xdr:pic>
      <xdr:nvPicPr>
        <xdr:cNvPr id="2" name="Imagen 1">
          <a:extLst>
            <a:ext uri="{FF2B5EF4-FFF2-40B4-BE49-F238E27FC236}">
              <a16:creationId xmlns:a16="http://schemas.microsoft.com/office/drawing/2014/main" id="{7A29AAE6-36B1-444A-8748-0A443882988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1147" b="16923"/>
        <a:stretch/>
      </xdr:blipFill>
      <xdr:spPr>
        <a:xfrm>
          <a:off x="171450" y="19049"/>
          <a:ext cx="1857027" cy="695325"/>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57150</xdr:colOff>
      <xdr:row>0</xdr:row>
      <xdr:rowOff>0</xdr:rowOff>
    </xdr:from>
    <xdr:to>
      <xdr:col>1</xdr:col>
      <xdr:colOff>1104900</xdr:colOff>
      <xdr:row>2</xdr:row>
      <xdr:rowOff>83931</xdr:rowOff>
    </xdr:to>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83" t="12319" r="19601" b="13043"/>
        <a:stretch/>
      </xdr:blipFill>
      <xdr:spPr>
        <a:xfrm>
          <a:off x="257175" y="0"/>
          <a:ext cx="1047750" cy="90308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200025</xdr:colOff>
      <xdr:row>0</xdr:row>
      <xdr:rowOff>85725</xdr:rowOff>
    </xdr:from>
    <xdr:to>
      <xdr:col>1</xdr:col>
      <xdr:colOff>2152650</xdr:colOff>
      <xdr:row>0</xdr:row>
      <xdr:rowOff>727497</xdr:rowOff>
    </xdr:to>
    <xdr:pic>
      <xdr:nvPicPr>
        <xdr:cNvPr id="2" name="Imagen 1">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5567" b="21023"/>
        <a:stretch/>
      </xdr:blipFill>
      <xdr:spPr>
        <a:xfrm>
          <a:off x="381000" y="85725"/>
          <a:ext cx="1952625" cy="64177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133349</xdr:colOff>
      <xdr:row>17</xdr:row>
      <xdr:rowOff>200025</xdr:rowOff>
    </xdr:from>
    <xdr:to>
      <xdr:col>3</xdr:col>
      <xdr:colOff>464448</xdr:colOff>
      <xdr:row>22</xdr:row>
      <xdr:rowOff>95250</xdr:rowOff>
    </xdr:to>
    <xdr:pic>
      <xdr:nvPicPr>
        <xdr:cNvPr id="3" name="Imagen 2">
          <a:extLst>
            <a:ext uri="{FF2B5EF4-FFF2-40B4-BE49-F238E27FC236}">
              <a16:creationId xmlns:a16="http://schemas.microsoft.com/office/drawing/2014/main" id="{FED38257-7741-4C8D-83C6-DFB14F7AEF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349" y="5210175"/>
          <a:ext cx="6274699" cy="1800225"/>
        </a:xfrm>
        <a:prstGeom prst="rect">
          <a:avLst/>
        </a:prstGeom>
      </xdr:spPr>
    </xdr:pic>
    <xdr:clientData/>
  </xdr:twoCellAnchor>
  <xdr:twoCellAnchor editAs="oneCell">
    <xdr:from>
      <xdr:col>1</xdr:col>
      <xdr:colOff>285750</xdr:colOff>
      <xdr:row>0</xdr:row>
      <xdr:rowOff>57150</xdr:rowOff>
    </xdr:from>
    <xdr:to>
      <xdr:col>1</xdr:col>
      <xdr:colOff>1094403</xdr:colOff>
      <xdr:row>1</xdr:row>
      <xdr:rowOff>238125</xdr:rowOff>
    </xdr:to>
    <xdr:pic>
      <xdr:nvPicPr>
        <xdr:cNvPr id="5" name="Imagen 4">
          <a:extLst>
            <a:ext uri="{FF2B5EF4-FFF2-40B4-BE49-F238E27FC236}">
              <a16:creationId xmlns:a16="http://schemas.microsoft.com/office/drawing/2014/main" id="{86BBB8E5-4E8A-4BB7-A11F-08E1986F87E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3437"/>
        <a:stretch/>
      </xdr:blipFill>
      <xdr:spPr>
        <a:xfrm>
          <a:off x="485775" y="57150"/>
          <a:ext cx="808653" cy="619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actura%20con%20cargo%20financiero%20(simple)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ARGO%20FINANCIERO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GO FINANCIERO"/>
      <sheetName val="Hoja1"/>
    </sheetNames>
    <sheetDataSet>
      <sheetData sheetId="0">
        <row r="2">
          <cell r="B2" t="str">
            <v>El nombre de su empresa</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GO FINANCIEROE"/>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tallesDeFactura" displayName="DetallesDeFactura" ref="B13:E24" totalsRowShown="0">
  <autoFilter ref="B13:E24" xr:uid="{00000000-0009-0000-0100-000003000000}"/>
  <tableColumns count="4">
    <tableColumn id="1" xr3:uid="{00000000-0010-0000-0200-000001000000}" name="DESCRIPCIÓN" dataCellStyle="Normal 6"/>
    <tableColumn id="2" xr3:uid="{00000000-0010-0000-0200-000002000000}" name="Unidades" dataCellStyle="Normal 6"/>
    <tableColumn id="3" xr3:uid="{00000000-0010-0000-0200-000003000000}" name="P.Unitario" totalsRowDxfId="0" dataCellStyle="Normal 6"/>
    <tableColumn id="4" xr3:uid="{00000000-0010-0000-0200-000004000000}" name="TOTAL" dataCellStyle="Normal 6">
      <calculatedColumnFormula>IFERROR(DetallesDeFactura[[#This Row],[Unidades]]*DetallesDeFactura[[#This Row],[P.Unitario]], "")</calculatedColumnFormula>
    </tableColumn>
  </tableColumns>
  <tableStyleInfo name="TableStyleLight3" showFirstColumn="0" showLastColumn="1" showRowStripes="1" showColumnStripes="0"/>
  <extLst>
    <ext xmlns:x14="http://schemas.microsoft.com/office/spreadsheetml/2009/9/main" uri="{504A1905-F514-4f6f-8877-14C23A59335A}">
      <x14:table altTextSummary="Escriba la descripción, la cantidad y el importe de la factura en esta tabla. El importe total y el total a pagar se calculan automáticament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C15:F21" headerRowDxfId="22" dataDxfId="21">
  <autoFilter ref="C15:F21" xr:uid="{00000000-0009-0000-0100-000001000000}">
    <filterColumn colId="0" hiddenButton="1"/>
    <filterColumn colId="1" hiddenButton="1"/>
    <filterColumn colId="2" hiddenButton="1"/>
    <filterColumn colId="3" hiddenButton="1"/>
  </autoFilter>
  <tableColumns count="4">
    <tableColumn id="1" xr3:uid="{00000000-0010-0000-0000-000001000000}" name="CONCEPTO" totalsRowLabel="Total" dataDxfId="20" totalsRowDxfId="19"/>
    <tableColumn id="4" xr3:uid="{00000000-0010-0000-0000-000004000000}" name="IMPORTE SIN IVA (10%)" totalsRowFunction="count" dataDxfId="18" totalsRowDxfId="17">
      <calculatedColumnFormula>IF(SUM(C16)&gt;0,SUM(C16*#REF!),"")</calculatedColumnFormula>
    </tableColumn>
    <tableColumn id="2" xr3:uid="{00000000-0010-0000-0000-000002000000}" name="Columna1" dataDxfId="16"/>
    <tableColumn id="3" xr3:uid="{00000000-0010-0000-0000-000003000000}" name="Columna2" dataDxfId="15">
      <calculatedColumnFormula>(Tabla1[[#This Row],[IMPORTE SIN IVA (10%)]]*0.1)</calculatedColumnFormula>
    </tableColumn>
  </tableColumns>
  <tableStyleInfo name="Factura de servicio simple diseño azul" showFirstColumn="0"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actura" displayName="Factura" ref="B15:E37" totalsRowShown="0" headerRowDxfId="14" dataDxfId="13" totalsRowBorderDxfId="12">
  <autoFilter ref="B15:E37" xr:uid="{00000000-0009-0000-0100-000002000000}">
    <filterColumn colId="0" hiddenButton="1"/>
    <filterColumn colId="1" hiddenButton="1"/>
    <filterColumn colId="2" hiddenButton="1"/>
    <filterColumn colId="3" hiddenButton="1"/>
  </autoFilter>
  <tableColumns count="4">
    <tableColumn id="6" xr3:uid="{00000000-0010-0000-0100-000006000000}" name="DESCRIPCIÓN DE CARGO FINANCIERO" dataDxfId="11" totalsRowDxfId="10" dataCellStyle="Descripción"/>
    <tableColumn id="2" xr3:uid="{00000000-0010-0000-0100-000002000000}" name="UNIDADES" dataDxfId="9" totalsRowDxfId="8" dataCellStyle="Normal"/>
    <tableColumn id="4" xr3:uid="{00000000-0010-0000-0100-000004000000}" name="P.Unitario" dataDxfId="7" totalsRowDxfId="6" dataCellStyle="Moneda"/>
    <tableColumn id="1" xr3:uid="{00000000-0010-0000-0100-000001000000}" name="TOTAL" dataDxfId="5" totalsRowDxfId="4" dataCellStyle="Moneda">
      <calculatedColumnFormula>Factura[[#This Row],[UNIDADES]]*Factura[[#This Row],[P.Unitario]]</calculatedColumnFormula>
    </tableColumn>
  </tableColumns>
  <tableStyleInfo name="Factura" showFirstColumn="1" showLastColumn="1" showRowStripes="0" showColumnStripes="0"/>
  <extLst>
    <ext xmlns:x14="http://schemas.microsoft.com/office/spreadsheetml/2009/9/main" uri="{504A1905-F514-4f6f-8877-14C23A59335A}">
      <x14:table altTextSummary="Escriba las descripciones y las cantidades de factura en esta tabla. Agregue nuevas filas y columnas para más entradas. El total de activos se calcula automáticamente al final de la tabla."/>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Factura7" displayName="Factura7" ref="B12:D18" totalsRowShown="0" headerRowDxfId="3">
  <autoFilter ref="B12:D18" xr:uid="{00000000-0009-0000-0100-000006000000}">
    <filterColumn colId="0" hiddenButton="1"/>
    <filterColumn colId="1" hiddenButton="1"/>
    <filterColumn colId="2" hiddenButton="1"/>
  </autoFilter>
  <tableColumns count="3">
    <tableColumn id="1" xr3:uid="{00000000-0010-0000-0300-000001000000}" name="DESCRIPCIÓN" dataCellStyle="Normal 7"/>
    <tableColumn id="2" xr3:uid="{00000000-0010-0000-0300-000002000000}" name=" " dataCellStyle="Total 3"/>
    <tableColumn id="3" xr3:uid="{00000000-0010-0000-0300-000003000000}" name="IMPORTE" dataDxfId="2" totalsRowDxfId="1" dataCellStyle="Moneda 6"/>
  </tableColumns>
  <tableStyleInfo name="Factura que calcula el total" showFirstColumn="0" showLastColumn="1" showRowStripes="1" showColumnStripes="0"/>
  <extLst>
    <ext xmlns:x14="http://schemas.microsoft.com/office/spreadsheetml/2009/9/main" uri="{504A1905-F514-4f6f-8877-14C23A59335A}">
      <x14:table altTextSummary="Escriba las descripciones y las cantidades de factura en esta tabla. El total adeudado se calcula automáticamente al final de la tabla."/>
    </ext>
  </extLst>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30"/>
  <sheetViews>
    <sheetView showGridLines="0" topLeftCell="B5" workbookViewId="0">
      <selection activeCell="C5" sqref="C5"/>
    </sheetView>
  </sheetViews>
  <sheetFormatPr baseColWidth="10" defaultRowHeight="15" x14ac:dyDescent="0.25"/>
  <cols>
    <col min="1" max="1" width="22" hidden="1" customWidth="1"/>
    <col min="2" max="2" width="44.5703125" bestFit="1" customWidth="1"/>
    <col min="3" max="3" width="19.28515625" style="1" customWidth="1"/>
    <col min="4" max="14" width="13" bestFit="1" customWidth="1"/>
  </cols>
  <sheetData>
    <row r="2" spans="1:15" x14ac:dyDescent="0.25">
      <c r="C2" s="369">
        <v>105.8</v>
      </c>
    </row>
    <row r="3" spans="1:15" ht="20.25" x14ac:dyDescent="0.3">
      <c r="B3" s="474" t="s">
        <v>16</v>
      </c>
      <c r="C3" s="474"/>
      <c r="D3" s="474"/>
      <c r="E3" s="474"/>
      <c r="F3" s="474"/>
      <c r="G3" s="474"/>
      <c r="H3" s="474"/>
      <c r="I3" s="474"/>
      <c r="J3" s="474"/>
      <c r="K3" s="474"/>
      <c r="L3" s="474"/>
      <c r="M3" s="474"/>
      <c r="N3" s="474"/>
      <c r="O3" s="474"/>
    </row>
    <row r="4" spans="1:15" ht="15" customHeight="1" x14ac:dyDescent="0.25">
      <c r="B4" s="452"/>
      <c r="C4" s="4" t="s">
        <v>13</v>
      </c>
      <c r="D4" s="5" t="s">
        <v>0</v>
      </c>
      <c r="E4" s="5" t="s">
        <v>1</v>
      </c>
      <c r="F4" s="5" t="s">
        <v>2</v>
      </c>
      <c r="G4" s="5" t="s">
        <v>3</v>
      </c>
      <c r="H4" s="5" t="s">
        <v>4</v>
      </c>
      <c r="I4" s="5" t="s">
        <v>5</v>
      </c>
      <c r="J4" s="5" t="s">
        <v>6</v>
      </c>
      <c r="K4" s="5" t="s">
        <v>7</v>
      </c>
      <c r="L4" s="5" t="s">
        <v>8</v>
      </c>
      <c r="M4" s="5" t="s">
        <v>9</v>
      </c>
      <c r="N4" s="5" t="s">
        <v>10</v>
      </c>
      <c r="O4" s="5" t="s">
        <v>11</v>
      </c>
    </row>
    <row r="5" spans="1:15" ht="15.75" customHeight="1" x14ac:dyDescent="0.25">
      <c r="A5" s="6">
        <v>25750</v>
      </c>
      <c r="B5" s="453" t="s">
        <v>464</v>
      </c>
      <c r="C5" s="454">
        <v>20</v>
      </c>
      <c r="D5" s="456">
        <v>42</v>
      </c>
      <c r="E5" s="456">
        <v>50</v>
      </c>
      <c r="F5" s="456">
        <v>49</v>
      </c>
      <c r="G5" s="456">
        <v>37</v>
      </c>
      <c r="H5" s="456">
        <v>25</v>
      </c>
      <c r="I5" s="456">
        <v>44</v>
      </c>
      <c r="J5" s="456">
        <v>27</v>
      </c>
      <c r="K5" s="456">
        <v>41</v>
      </c>
      <c r="L5" s="456">
        <v>24</v>
      </c>
      <c r="M5" s="456">
        <v>38</v>
      </c>
      <c r="N5" s="456">
        <v>46</v>
      </c>
      <c r="O5" s="456">
        <v>40</v>
      </c>
    </row>
    <row r="6" spans="1:15" ht="15.75" x14ac:dyDescent="0.25">
      <c r="A6" s="6">
        <v>27894</v>
      </c>
      <c r="B6" s="453" t="s">
        <v>465</v>
      </c>
      <c r="C6" s="454">
        <v>64.989999999999995</v>
      </c>
      <c r="D6" s="456">
        <v>27</v>
      </c>
      <c r="E6" s="456">
        <v>34</v>
      </c>
      <c r="F6" s="456">
        <v>43</v>
      </c>
      <c r="G6" s="456">
        <v>26</v>
      </c>
      <c r="H6" s="456">
        <v>40</v>
      </c>
      <c r="I6" s="456">
        <v>23</v>
      </c>
      <c r="J6" s="456">
        <v>31</v>
      </c>
      <c r="K6" s="456">
        <v>44</v>
      </c>
      <c r="L6" s="456">
        <v>34</v>
      </c>
      <c r="M6" s="456">
        <v>25</v>
      </c>
      <c r="N6" s="456">
        <v>28</v>
      </c>
      <c r="O6" s="456">
        <v>25</v>
      </c>
    </row>
    <row r="7" spans="1:15" ht="15.75" x14ac:dyDescent="0.25">
      <c r="A7" s="6">
        <v>23542.69</v>
      </c>
      <c r="B7" s="453" t="s">
        <v>466</v>
      </c>
      <c r="C7" s="455">
        <v>44.850250000000003</v>
      </c>
      <c r="D7" s="456">
        <v>33</v>
      </c>
      <c r="E7" s="456">
        <v>24</v>
      </c>
      <c r="F7" s="456">
        <v>29</v>
      </c>
      <c r="G7" s="456">
        <v>30</v>
      </c>
      <c r="H7" s="456">
        <v>37</v>
      </c>
      <c r="I7" s="456">
        <v>31</v>
      </c>
      <c r="J7" s="456">
        <v>48</v>
      </c>
      <c r="K7" s="456">
        <v>45</v>
      </c>
      <c r="L7" s="456">
        <v>45</v>
      </c>
      <c r="M7" s="456">
        <v>42</v>
      </c>
      <c r="N7" s="456">
        <v>37</v>
      </c>
      <c r="O7" s="456">
        <v>35</v>
      </c>
    </row>
    <row r="8" spans="1:15" ht="15.75" x14ac:dyDescent="0.25">
      <c r="A8" s="6">
        <v>20005</v>
      </c>
      <c r="B8" s="453" t="s">
        <v>467</v>
      </c>
      <c r="C8" s="454">
        <v>50</v>
      </c>
      <c r="D8" s="456">
        <v>23</v>
      </c>
      <c r="E8" s="456">
        <v>24</v>
      </c>
      <c r="F8" s="456">
        <v>34</v>
      </c>
      <c r="G8" s="456">
        <v>30</v>
      </c>
      <c r="H8" s="456">
        <v>47</v>
      </c>
      <c r="I8" s="456">
        <v>28</v>
      </c>
      <c r="J8" s="456">
        <v>37</v>
      </c>
      <c r="K8" s="456">
        <v>31</v>
      </c>
      <c r="L8" s="456">
        <v>25</v>
      </c>
      <c r="M8" s="456">
        <v>37</v>
      </c>
      <c r="N8" s="456">
        <v>24</v>
      </c>
      <c r="O8" s="456">
        <v>43</v>
      </c>
    </row>
    <row r="9" spans="1:15" ht="15.75" x14ac:dyDescent="0.25">
      <c r="A9" s="6">
        <v>18863.53</v>
      </c>
      <c r="B9" s="453" t="s">
        <v>472</v>
      </c>
      <c r="C9" s="454">
        <v>80</v>
      </c>
      <c r="D9" s="456">
        <v>25</v>
      </c>
      <c r="E9" s="456">
        <v>25</v>
      </c>
      <c r="F9" s="456">
        <v>24</v>
      </c>
      <c r="G9" s="456">
        <v>46</v>
      </c>
      <c r="H9" s="456">
        <v>49</v>
      </c>
      <c r="I9" s="456">
        <v>40</v>
      </c>
      <c r="J9" s="456">
        <v>43</v>
      </c>
      <c r="K9" s="456">
        <v>44</v>
      </c>
      <c r="L9" s="456">
        <v>42</v>
      </c>
      <c r="M9" s="456">
        <v>23</v>
      </c>
      <c r="N9" s="456">
        <v>30</v>
      </c>
      <c r="O9" s="456">
        <v>34</v>
      </c>
    </row>
    <row r="10" spans="1:15" ht="15.75" x14ac:dyDescent="0.25">
      <c r="A10" s="6">
        <v>15461.6</v>
      </c>
      <c r="B10" s="453" t="s">
        <v>468</v>
      </c>
      <c r="C10" s="454">
        <v>70</v>
      </c>
      <c r="D10" s="456">
        <v>41</v>
      </c>
      <c r="E10" s="456">
        <v>40</v>
      </c>
      <c r="F10" s="456">
        <v>30</v>
      </c>
      <c r="G10" s="456">
        <v>31</v>
      </c>
      <c r="H10" s="456">
        <v>38</v>
      </c>
      <c r="I10" s="456">
        <v>36</v>
      </c>
      <c r="J10" s="456">
        <v>47</v>
      </c>
      <c r="K10" s="456">
        <v>41</v>
      </c>
      <c r="L10" s="456">
        <v>44</v>
      </c>
      <c r="M10" s="456">
        <v>46</v>
      </c>
      <c r="N10" s="456">
        <v>33</v>
      </c>
      <c r="O10" s="456">
        <v>27</v>
      </c>
    </row>
    <row r="11" spans="1:15" ht="15.75" x14ac:dyDescent="0.25">
      <c r="A11" s="6">
        <v>16041.9</v>
      </c>
      <c r="B11" s="453" t="s">
        <v>469</v>
      </c>
      <c r="C11" s="454">
        <v>15.019</v>
      </c>
      <c r="D11" s="456">
        <v>25</v>
      </c>
      <c r="E11" s="456">
        <v>49</v>
      </c>
      <c r="F11" s="456">
        <v>21</v>
      </c>
      <c r="G11" s="456">
        <v>49</v>
      </c>
      <c r="H11" s="456">
        <v>25</v>
      </c>
      <c r="I11" s="456">
        <v>24</v>
      </c>
      <c r="J11" s="456">
        <v>37</v>
      </c>
      <c r="K11" s="456">
        <v>41</v>
      </c>
      <c r="L11" s="456">
        <v>30</v>
      </c>
      <c r="M11" s="456">
        <v>28</v>
      </c>
      <c r="N11" s="456">
        <v>41</v>
      </c>
      <c r="O11" s="456">
        <v>33</v>
      </c>
    </row>
    <row r="12" spans="1:15" ht="15.75" x14ac:dyDescent="0.25">
      <c r="A12" s="6">
        <v>16540</v>
      </c>
      <c r="B12" s="453" t="s">
        <v>470</v>
      </c>
      <c r="C12" s="454">
        <v>55</v>
      </c>
      <c r="D12" s="456">
        <v>24</v>
      </c>
      <c r="E12" s="456">
        <v>24</v>
      </c>
      <c r="F12" s="456">
        <v>45</v>
      </c>
      <c r="G12" s="456">
        <v>23</v>
      </c>
      <c r="H12" s="456">
        <v>31</v>
      </c>
      <c r="I12" s="456">
        <v>29</v>
      </c>
      <c r="J12" s="456">
        <v>24</v>
      </c>
      <c r="K12" s="456">
        <v>20</v>
      </c>
      <c r="L12" s="456">
        <v>41</v>
      </c>
      <c r="M12" s="456">
        <v>29</v>
      </c>
      <c r="N12" s="456">
        <v>22</v>
      </c>
      <c r="O12" s="456">
        <v>24</v>
      </c>
    </row>
    <row r="13" spans="1:15" ht="15.75" x14ac:dyDescent="0.25">
      <c r="A13" s="6">
        <v>20840</v>
      </c>
      <c r="B13" s="453" t="s">
        <v>471</v>
      </c>
      <c r="C13" s="454">
        <v>100</v>
      </c>
      <c r="D13" s="456">
        <v>47</v>
      </c>
      <c r="E13" s="456">
        <v>33</v>
      </c>
      <c r="F13" s="456">
        <v>40</v>
      </c>
      <c r="G13" s="456">
        <v>45</v>
      </c>
      <c r="H13" s="456">
        <v>27</v>
      </c>
      <c r="I13" s="456">
        <v>27</v>
      </c>
      <c r="J13" s="456">
        <v>29</v>
      </c>
      <c r="K13" s="456">
        <v>31</v>
      </c>
      <c r="L13" s="456">
        <v>30</v>
      </c>
      <c r="M13" s="456">
        <v>30</v>
      </c>
      <c r="N13" s="456">
        <v>50</v>
      </c>
      <c r="O13" s="456">
        <v>49</v>
      </c>
    </row>
    <row r="14" spans="1:15" ht="18.75" thickBot="1" x14ac:dyDescent="0.3">
      <c r="B14" s="7" t="s">
        <v>14</v>
      </c>
      <c r="C14" s="457">
        <f>SUM(C5:C13)</f>
        <v>499.85924999999997</v>
      </c>
      <c r="D14" s="458">
        <f>SUM(D5:D13)</f>
        <v>287</v>
      </c>
      <c r="E14" s="458">
        <f t="shared" ref="E14:O14" si="0">SUM(E5:E13)</f>
        <v>303</v>
      </c>
      <c r="F14" s="458">
        <f t="shared" si="0"/>
        <v>315</v>
      </c>
      <c r="G14" s="458">
        <f t="shared" si="0"/>
        <v>317</v>
      </c>
      <c r="H14" s="458">
        <f t="shared" si="0"/>
        <v>319</v>
      </c>
      <c r="I14" s="458">
        <f t="shared" si="0"/>
        <v>282</v>
      </c>
      <c r="J14" s="458">
        <f t="shared" si="0"/>
        <v>323</v>
      </c>
      <c r="K14" s="458">
        <f t="shared" si="0"/>
        <v>338</v>
      </c>
      <c r="L14" s="458">
        <f t="shared" si="0"/>
        <v>315</v>
      </c>
      <c r="M14" s="458">
        <f t="shared" si="0"/>
        <v>298</v>
      </c>
      <c r="N14" s="458">
        <f t="shared" si="0"/>
        <v>311</v>
      </c>
      <c r="O14" s="458">
        <f t="shared" si="0"/>
        <v>310</v>
      </c>
    </row>
    <row r="15" spans="1:15" x14ac:dyDescent="0.25">
      <c r="C15" s="3"/>
    </row>
    <row r="18" spans="2:14" ht="15" customHeight="1" x14ac:dyDescent="0.25">
      <c r="C18" s="4" t="s">
        <v>0</v>
      </c>
      <c r="D18" s="4" t="s">
        <v>12</v>
      </c>
      <c r="E18" s="4" t="s">
        <v>2</v>
      </c>
      <c r="F18" s="4" t="s">
        <v>3</v>
      </c>
      <c r="G18" s="4" t="s">
        <v>4</v>
      </c>
      <c r="H18" s="4" t="s">
        <v>5</v>
      </c>
      <c r="I18" s="4" t="s">
        <v>6</v>
      </c>
      <c r="J18" s="4" t="s">
        <v>7</v>
      </c>
      <c r="K18" s="4" t="s">
        <v>8</v>
      </c>
      <c r="L18" s="4" t="s">
        <v>9</v>
      </c>
      <c r="M18" s="4" t="s">
        <v>10</v>
      </c>
      <c r="N18" s="4" t="s">
        <v>11</v>
      </c>
    </row>
    <row r="19" spans="2:14" ht="15" customHeight="1" x14ac:dyDescent="0.25">
      <c r="B19" s="453" t="s">
        <v>464</v>
      </c>
      <c r="C19" s="11">
        <f>ingresos!D5*ingresos!$C$5</f>
        <v>840</v>
      </c>
      <c r="D19" s="11">
        <f>ingresos!E5*ingresos!$C$5</f>
        <v>1000</v>
      </c>
      <c r="E19" s="11">
        <f>ingresos!F5*ingresos!$C$5</f>
        <v>980</v>
      </c>
      <c r="F19" s="11">
        <f>ingresos!G5*ingresos!$C$5</f>
        <v>740</v>
      </c>
      <c r="G19" s="11">
        <f>ingresos!H5*ingresos!$C$5</f>
        <v>500</v>
      </c>
      <c r="H19" s="11">
        <f>ingresos!I5*ingresos!$C$5</f>
        <v>880</v>
      </c>
      <c r="I19" s="11">
        <f>ingresos!J5*ingresos!$C$5</f>
        <v>540</v>
      </c>
      <c r="J19" s="11">
        <f>ingresos!K5*ingresos!$C$5</f>
        <v>820</v>
      </c>
      <c r="K19" s="11">
        <f>ingresos!L5*ingresos!$C$5</f>
        <v>480</v>
      </c>
      <c r="L19" s="11">
        <f>ingresos!M5*ingresos!$C$5</f>
        <v>760</v>
      </c>
      <c r="M19" s="11">
        <f>ingresos!N5*ingresos!$C$5</f>
        <v>920</v>
      </c>
      <c r="N19" s="11">
        <f>ingresos!O5*ingresos!$C$5</f>
        <v>800</v>
      </c>
    </row>
    <row r="20" spans="2:14" ht="15.75" x14ac:dyDescent="0.25">
      <c r="B20" s="453" t="s">
        <v>465</v>
      </c>
      <c r="C20" s="12">
        <f>ingresos!D6*ingresos!$C$6</f>
        <v>1754.7299999999998</v>
      </c>
      <c r="D20" s="12">
        <f>ingresos!E6*ingresos!$C$6</f>
        <v>2209.66</v>
      </c>
      <c r="E20" s="12">
        <f>ingresos!F6*ingresos!$C$6</f>
        <v>2794.5699999999997</v>
      </c>
      <c r="F20" s="12">
        <f>ingresos!G6*ingresos!$C$6</f>
        <v>1689.7399999999998</v>
      </c>
      <c r="G20" s="12">
        <f>ingresos!H6*ingresos!$C$6</f>
        <v>2599.6</v>
      </c>
      <c r="H20" s="12">
        <f>ingresos!I6*ingresos!$C$6</f>
        <v>1494.77</v>
      </c>
      <c r="I20" s="12">
        <f>ingresos!J6*ingresos!$C$6</f>
        <v>2014.6899999999998</v>
      </c>
      <c r="J20" s="12">
        <f>ingresos!K6*ingresos!$C$6</f>
        <v>2859.56</v>
      </c>
      <c r="K20" s="12">
        <f>ingresos!L6*ingresos!$C$6</f>
        <v>2209.66</v>
      </c>
      <c r="L20" s="12">
        <f>ingresos!M6*ingresos!$C$6</f>
        <v>1624.7499999999998</v>
      </c>
      <c r="M20" s="12">
        <f>ingresos!N6*ingresos!$C$6</f>
        <v>1819.7199999999998</v>
      </c>
      <c r="N20" s="12">
        <f>ingresos!O6*ingresos!$C$6</f>
        <v>1624.7499999999998</v>
      </c>
    </row>
    <row r="21" spans="2:14" ht="15.75" x14ac:dyDescent="0.25">
      <c r="B21" s="453" t="s">
        <v>466</v>
      </c>
      <c r="C21" s="12">
        <f>ingresos!D7*ingresos!$C$7</f>
        <v>1480.05825</v>
      </c>
      <c r="D21" s="12">
        <f>ingresos!E7*ingresos!$C$7</f>
        <v>1076.4059999999999</v>
      </c>
      <c r="E21" s="12">
        <f>ingresos!F7*ingresos!$C$7</f>
        <v>1300.65725</v>
      </c>
      <c r="F21" s="12">
        <f>ingresos!G7*ingresos!$C$7</f>
        <v>1345.5075000000002</v>
      </c>
      <c r="G21" s="12">
        <f>ingresos!H7*ingresos!$C$7</f>
        <v>1659.4592500000001</v>
      </c>
      <c r="H21" s="12">
        <f>ingresos!I7*ingresos!$C$7</f>
        <v>1390.3577500000001</v>
      </c>
      <c r="I21" s="12">
        <f>ingresos!J7*ingresos!$C$7</f>
        <v>2152.8119999999999</v>
      </c>
      <c r="J21" s="12">
        <f>ingresos!K7*ingresos!$C$7</f>
        <v>2018.26125</v>
      </c>
      <c r="K21" s="12">
        <f>ingresos!L7*ingresos!$C$7</f>
        <v>2018.26125</v>
      </c>
      <c r="L21" s="12">
        <f>ingresos!M7*ingresos!$C$7</f>
        <v>1883.7105000000001</v>
      </c>
      <c r="M21" s="12">
        <f>ingresos!N7*ingresos!$C$7</f>
        <v>1659.4592500000001</v>
      </c>
      <c r="N21" s="12">
        <f>ingresos!O7*ingresos!$C$7</f>
        <v>1569.7587500000002</v>
      </c>
    </row>
    <row r="22" spans="2:14" ht="15.75" x14ac:dyDescent="0.25">
      <c r="B22" s="453" t="s">
        <v>467</v>
      </c>
      <c r="C22" s="12">
        <f>ingresos!D8*ingresos!$C$8</f>
        <v>1150</v>
      </c>
      <c r="D22" s="12">
        <f>ingresos!E8*ingresos!$C$8</f>
        <v>1200</v>
      </c>
      <c r="E22" s="12">
        <f>ingresos!F8*ingresos!$C$8</f>
        <v>1700</v>
      </c>
      <c r="F22" s="12">
        <f>ingresos!G8*ingresos!$C$8</f>
        <v>1500</v>
      </c>
      <c r="G22" s="12">
        <f>ingresos!H8*ingresos!$C$8</f>
        <v>2350</v>
      </c>
      <c r="H22" s="12">
        <f>ingresos!I8*ingresos!$C$8</f>
        <v>1400</v>
      </c>
      <c r="I22" s="12">
        <f>ingresos!J8*ingresos!$C$8</f>
        <v>1850</v>
      </c>
      <c r="J22" s="12">
        <f>ingresos!K8*ingresos!$C$8</f>
        <v>1550</v>
      </c>
      <c r="K22" s="12">
        <f>ingresos!L8*ingresos!$C$8</f>
        <v>1250</v>
      </c>
      <c r="L22" s="12">
        <f>ingresos!M8*ingresos!$C$8</f>
        <v>1850</v>
      </c>
      <c r="M22" s="12">
        <f>ingresos!N8*ingresos!$C$8</f>
        <v>1200</v>
      </c>
      <c r="N22" s="12">
        <f>ingresos!O8*ingresos!$C$8</f>
        <v>2150</v>
      </c>
    </row>
    <row r="23" spans="2:14" ht="15.75" x14ac:dyDescent="0.25">
      <c r="B23" s="453" t="s">
        <v>472</v>
      </c>
      <c r="C23" s="12">
        <f>ingresos!D9*ingresos!$C$9</f>
        <v>2000</v>
      </c>
      <c r="D23" s="12">
        <f>ingresos!E9*ingresos!$C$9</f>
        <v>2000</v>
      </c>
      <c r="E23" s="12">
        <f>ingresos!F9*ingresos!$C$9</f>
        <v>1920</v>
      </c>
      <c r="F23" s="12">
        <f>ingresos!G9*ingresos!$C$9</f>
        <v>3680</v>
      </c>
      <c r="G23" s="12">
        <f>ingresos!H9*ingresos!$C$9</f>
        <v>3920</v>
      </c>
      <c r="H23" s="12">
        <f>ingresos!I9*ingresos!$C$9</f>
        <v>3200</v>
      </c>
      <c r="I23" s="12">
        <f>ingresos!J9*ingresos!$C$9</f>
        <v>3440</v>
      </c>
      <c r="J23" s="12">
        <f>ingresos!K9*ingresos!$C$9</f>
        <v>3520</v>
      </c>
      <c r="K23" s="12">
        <f>ingresos!L9*ingresos!$C$9</f>
        <v>3360</v>
      </c>
      <c r="L23" s="12">
        <f>ingresos!M9*ingresos!$C$9</f>
        <v>1840</v>
      </c>
      <c r="M23" s="12">
        <f>ingresos!N9*ingresos!$C$9</f>
        <v>2400</v>
      </c>
      <c r="N23" s="12">
        <f>ingresos!O9*ingresos!$C$9</f>
        <v>2720</v>
      </c>
    </row>
    <row r="24" spans="2:14" ht="15.75" x14ac:dyDescent="0.25">
      <c r="B24" s="453" t="s">
        <v>468</v>
      </c>
      <c r="C24" s="12">
        <f>ingresos!D10*$C$10</f>
        <v>2870</v>
      </c>
      <c r="D24" s="12">
        <f>ingresos!E10*$C$10</f>
        <v>2800</v>
      </c>
      <c r="E24" s="12">
        <f>ingresos!F10*$C$10</f>
        <v>2100</v>
      </c>
      <c r="F24" s="12">
        <f>ingresos!G10*$C$10</f>
        <v>2170</v>
      </c>
      <c r="G24" s="12">
        <f>ingresos!H10*$C$10</f>
        <v>2660</v>
      </c>
      <c r="H24" s="12">
        <f>ingresos!I10*$C$10</f>
        <v>2520</v>
      </c>
      <c r="I24" s="12">
        <f>ingresos!J10*$C$10</f>
        <v>3290</v>
      </c>
      <c r="J24" s="12">
        <f>ingresos!K10*$C$10</f>
        <v>2870</v>
      </c>
      <c r="K24" s="12">
        <f>ingresos!L10*$C$10</f>
        <v>3080</v>
      </c>
      <c r="L24" s="12">
        <f>ingresos!M10*$C$10</f>
        <v>3220</v>
      </c>
      <c r="M24" s="12">
        <f>ingresos!N10*$C$10</f>
        <v>2310</v>
      </c>
      <c r="N24" s="12">
        <f>ingresos!O10*$C$10</f>
        <v>1890</v>
      </c>
    </row>
    <row r="25" spans="2:14" ht="15.75" x14ac:dyDescent="0.25">
      <c r="B25" s="453" t="s">
        <v>469</v>
      </c>
      <c r="C25" s="12">
        <f>ingresos!D11*ingresos!$C$11</f>
        <v>375.47500000000002</v>
      </c>
      <c r="D25" s="12">
        <f>ingresos!E11*ingresos!$C$11</f>
        <v>735.93100000000004</v>
      </c>
      <c r="E25" s="12">
        <f>ingresos!F11*ingresos!$C$11</f>
        <v>315.399</v>
      </c>
      <c r="F25" s="12">
        <f>ingresos!G11*ingresos!$C$11</f>
        <v>735.93100000000004</v>
      </c>
      <c r="G25" s="12">
        <f>ingresos!H11*ingresos!$C$11</f>
        <v>375.47500000000002</v>
      </c>
      <c r="H25" s="12">
        <f>ingresos!I11*ingresos!$C$11</f>
        <v>360.45600000000002</v>
      </c>
      <c r="I25" s="12">
        <f>ingresos!J11*ingresos!$C$11</f>
        <v>555.70299999999997</v>
      </c>
      <c r="J25" s="12">
        <f>ingresos!K11*ingresos!$C$11</f>
        <v>615.779</v>
      </c>
      <c r="K25" s="12">
        <f>ingresos!L11*ingresos!$C$11</f>
        <v>450.57</v>
      </c>
      <c r="L25" s="12">
        <f>ingresos!M11*ingresos!$C$11</f>
        <v>420.53199999999998</v>
      </c>
      <c r="M25" s="12">
        <f>ingresos!N11*ingresos!$C$11</f>
        <v>615.779</v>
      </c>
      <c r="N25" s="12">
        <f>ingresos!O11*ingresos!$C$11</f>
        <v>495.62700000000001</v>
      </c>
    </row>
    <row r="26" spans="2:14" ht="15.75" x14ac:dyDescent="0.25">
      <c r="B26" s="453" t="s">
        <v>470</v>
      </c>
      <c r="C26" s="12">
        <f>ingresos!D12*ingresos!$C$12</f>
        <v>1320</v>
      </c>
      <c r="D26" s="12">
        <f>ingresos!E12*ingresos!$C$12</f>
        <v>1320</v>
      </c>
      <c r="E26" s="12">
        <f>ingresos!F12*ingresos!$C$12</f>
        <v>2475</v>
      </c>
      <c r="F26" s="12">
        <f>ingresos!G12*ingresos!$C$12</f>
        <v>1265</v>
      </c>
      <c r="G26" s="12">
        <f>ingresos!H12*ingresos!$C$12</f>
        <v>1705</v>
      </c>
      <c r="H26" s="12">
        <f>ingresos!I12*ingresos!$C$12</f>
        <v>1595</v>
      </c>
      <c r="I26" s="12">
        <f>ingresos!J12*ingresos!$C$12</f>
        <v>1320</v>
      </c>
      <c r="J26" s="12">
        <f>ingresos!K12*ingresos!$C$12</f>
        <v>1100</v>
      </c>
      <c r="K26" s="12">
        <f>ingresos!L12*ingresos!$C$12</f>
        <v>2255</v>
      </c>
      <c r="L26" s="12">
        <f>ingresos!M12*ingresos!$C$12</f>
        <v>1595</v>
      </c>
      <c r="M26" s="12">
        <f>ingresos!N12*ingresos!$C$12</f>
        <v>1210</v>
      </c>
      <c r="N26" s="12">
        <f>ingresos!O12*ingresos!$C$12</f>
        <v>1320</v>
      </c>
    </row>
    <row r="27" spans="2:14" ht="15.75" x14ac:dyDescent="0.25">
      <c r="B27" s="453" t="s">
        <v>471</v>
      </c>
      <c r="C27" s="13">
        <f>ingresos!D13*$C$13</f>
        <v>4700</v>
      </c>
      <c r="D27" s="13">
        <f>ingresos!E13*$C$13</f>
        <v>3300</v>
      </c>
      <c r="E27" s="13">
        <f>ingresos!F13*$C$13</f>
        <v>4000</v>
      </c>
      <c r="F27" s="13">
        <f>ingresos!G13*$C$13</f>
        <v>4500</v>
      </c>
      <c r="G27" s="13">
        <f>ingresos!H13*$C$13</f>
        <v>2700</v>
      </c>
      <c r="H27" s="13">
        <f>ingresos!I13*$C$13</f>
        <v>2700</v>
      </c>
      <c r="I27" s="13">
        <f>ingresos!J13*$C$13</f>
        <v>2900</v>
      </c>
      <c r="J27" s="13">
        <f>ingresos!K13*$C$13</f>
        <v>3100</v>
      </c>
      <c r="K27" s="13">
        <f>ingresos!L13*$C$13</f>
        <v>3000</v>
      </c>
      <c r="L27" s="13">
        <f>ingresos!M13*$C$13</f>
        <v>3000</v>
      </c>
      <c r="M27" s="13">
        <f>ingresos!N13*$C$13</f>
        <v>5000</v>
      </c>
      <c r="N27" s="13">
        <f>ingresos!O13*$C$13</f>
        <v>4900</v>
      </c>
    </row>
    <row r="28" spans="2:14" ht="15.75" x14ac:dyDescent="0.25">
      <c r="B28" s="8" t="s">
        <v>14</v>
      </c>
      <c r="C28" s="459">
        <f t="shared" ref="C28:N28" si="1">SUM(C19:C27)</f>
        <v>16490.26325</v>
      </c>
      <c r="D28" s="459">
        <f t="shared" si="1"/>
        <v>15641.996999999999</v>
      </c>
      <c r="E28" s="459">
        <f t="shared" si="1"/>
        <v>17585.626250000001</v>
      </c>
      <c r="F28" s="459">
        <f t="shared" si="1"/>
        <v>17626.178500000002</v>
      </c>
      <c r="G28" s="459">
        <f t="shared" si="1"/>
        <v>18469.534250000001</v>
      </c>
      <c r="H28" s="459">
        <f t="shared" si="1"/>
        <v>15540.58375</v>
      </c>
      <c r="I28" s="459">
        <f t="shared" si="1"/>
        <v>18063.205000000002</v>
      </c>
      <c r="J28" s="459">
        <f t="shared" si="1"/>
        <v>18453.600250000003</v>
      </c>
      <c r="K28" s="459">
        <f t="shared" si="1"/>
        <v>18103.491249999999</v>
      </c>
      <c r="L28" s="459">
        <f t="shared" si="1"/>
        <v>16193.9925</v>
      </c>
      <c r="M28" s="459">
        <f t="shared" si="1"/>
        <v>17134.958250000003</v>
      </c>
      <c r="N28" s="459">
        <f t="shared" si="1"/>
        <v>17470.135750000001</v>
      </c>
    </row>
    <row r="29" spans="2:14" ht="19.5" thickBot="1" x14ac:dyDescent="0.35">
      <c r="B29" s="9" t="s">
        <v>15</v>
      </c>
      <c r="C29" s="10">
        <f>SUM(C28:N28)</f>
        <v>206773.56599999999</v>
      </c>
    </row>
    <row r="30" spans="2:14" ht="15.75" thickTop="1" x14ac:dyDescent="0.25">
      <c r="C30" s="2"/>
    </row>
  </sheetData>
  <mergeCells count="1">
    <mergeCell ref="B3:O3"/>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5:Q54"/>
  <sheetViews>
    <sheetView showGridLines="0" topLeftCell="C19" zoomScale="70" zoomScaleNormal="70" workbookViewId="0">
      <selection activeCell="P45" sqref="P45"/>
    </sheetView>
  </sheetViews>
  <sheetFormatPr baseColWidth="10" defaultRowHeight="15.75" x14ac:dyDescent="0.25"/>
  <cols>
    <col min="1" max="1" width="1.140625" style="284" customWidth="1"/>
    <col min="2" max="2" width="43.7109375" style="283" bestFit="1" customWidth="1"/>
    <col min="3" max="3" width="20.140625" style="284" bestFit="1" customWidth="1"/>
    <col min="4" max="10" width="14.85546875" style="284" bestFit="1" customWidth="1"/>
    <col min="11" max="11" width="16.85546875" style="284" bestFit="1" customWidth="1"/>
    <col min="12" max="12" width="14.85546875" style="284" bestFit="1" customWidth="1"/>
    <col min="13" max="13" width="16.5703125" style="284" bestFit="1" customWidth="1"/>
    <col min="14" max="14" width="15.5703125" style="284" bestFit="1" customWidth="1"/>
    <col min="15" max="15" width="18.42578125" style="284" customWidth="1"/>
    <col min="16" max="16" width="20.28515625" style="284" bestFit="1" customWidth="1"/>
    <col min="17" max="17" width="18.28515625" style="284" customWidth="1"/>
    <col min="18" max="18" width="12" style="284" bestFit="1" customWidth="1"/>
    <col min="19" max="16384" width="11.42578125" style="284"/>
  </cols>
  <sheetData>
    <row r="5" spans="2:17" ht="20.25" x14ac:dyDescent="0.3">
      <c r="C5" s="477" t="s">
        <v>428</v>
      </c>
      <c r="D5" s="477"/>
      <c r="E5" s="477"/>
      <c r="F5" s="477"/>
      <c r="G5" s="477"/>
      <c r="H5" s="477"/>
      <c r="I5" s="477"/>
      <c r="J5" s="477"/>
      <c r="K5" s="477"/>
      <c r="L5" s="477"/>
      <c r="M5" s="477"/>
      <c r="N5" s="477"/>
      <c r="O5" s="431"/>
      <c r="P5" s="431"/>
      <c r="Q5" s="431"/>
    </row>
    <row r="6" spans="2:17" s="283" customFormat="1" x14ac:dyDescent="0.25">
      <c r="C6" s="285" t="s">
        <v>17</v>
      </c>
      <c r="D6" s="285" t="s">
        <v>18</v>
      </c>
      <c r="E6" s="285" t="s">
        <v>19</v>
      </c>
      <c r="F6" s="285" t="s">
        <v>20</v>
      </c>
      <c r="G6" s="285" t="s">
        <v>21</v>
      </c>
      <c r="H6" s="285" t="s">
        <v>22</v>
      </c>
      <c r="I6" s="285" t="s">
        <v>23</v>
      </c>
      <c r="J6" s="285" t="s">
        <v>24</v>
      </c>
      <c r="K6" s="285" t="s">
        <v>25</v>
      </c>
      <c r="L6" s="285" t="s">
        <v>26</v>
      </c>
      <c r="M6" s="285" t="s">
        <v>27</v>
      </c>
      <c r="N6" s="285" t="s">
        <v>28</v>
      </c>
      <c r="O6" s="432"/>
      <c r="P6" s="432"/>
      <c r="Q6" s="432"/>
    </row>
    <row r="7" spans="2:17" s="283" customFormat="1" x14ac:dyDescent="0.25">
      <c r="C7" s="478"/>
      <c r="D7" s="478"/>
      <c r="E7" s="478"/>
      <c r="F7" s="478"/>
      <c r="G7" s="478"/>
      <c r="H7" s="478"/>
      <c r="I7" s="478"/>
      <c r="J7" s="478"/>
      <c r="K7" s="478"/>
      <c r="L7" s="478"/>
      <c r="M7" s="478"/>
      <c r="N7" s="478"/>
      <c r="O7" s="432"/>
      <c r="P7" s="432"/>
      <c r="Q7" s="432"/>
    </row>
    <row r="8" spans="2:17" ht="16.5" x14ac:dyDescent="0.25">
      <c r="B8" s="287" t="s">
        <v>36</v>
      </c>
      <c r="C8" s="288">
        <f>'FACTURA AGUA'!$D$21</f>
        <v>103.4</v>
      </c>
      <c r="D8" s="288">
        <f>'FACTURA AGUA'!$D$21</f>
        <v>103.4</v>
      </c>
      <c r="E8" s="288">
        <f>'FACTURA AGUA'!$D$21</f>
        <v>103.4</v>
      </c>
      <c r="F8" s="288">
        <f>'FACTURA AGUA'!$D$21</f>
        <v>103.4</v>
      </c>
      <c r="G8" s="288">
        <f>'FACTURA AGUA'!$D$21</f>
        <v>103.4</v>
      </c>
      <c r="H8" s="288">
        <f>'FACTURA AGUA'!$D$21</f>
        <v>103.4</v>
      </c>
      <c r="I8" s="288">
        <f>'FACTURA AGUA'!$D$21</f>
        <v>103.4</v>
      </c>
      <c r="J8" s="288">
        <f>'FACTURA AGUA'!$D$21</f>
        <v>103.4</v>
      </c>
      <c r="K8" s="288">
        <f>'FACTURA AGUA'!$D$21</f>
        <v>103.4</v>
      </c>
      <c r="L8" s="288">
        <f>'FACTURA AGUA'!$D$21</f>
        <v>103.4</v>
      </c>
      <c r="M8" s="288">
        <f>'FACTURA AGUA'!$D$21</f>
        <v>103.4</v>
      </c>
      <c r="N8" s="288">
        <f>'FACTURA AGUA'!$D$21</f>
        <v>103.4</v>
      </c>
      <c r="O8" s="432">
        <f t="shared" ref="O8:O28" si="0">SUM(C8:N8)</f>
        <v>1240.8000000000002</v>
      </c>
      <c r="P8" s="431">
        <v>913.08000000000015</v>
      </c>
      <c r="Q8" s="431"/>
    </row>
    <row r="9" spans="2:17" ht="16.5" x14ac:dyDescent="0.25">
      <c r="B9" s="289" t="s">
        <v>29</v>
      </c>
      <c r="C9" s="288">
        <f>'FACTURA LUZ '!$D$13+'FACTURA GAS'!$D$13</f>
        <v>403.81000000000006</v>
      </c>
      <c r="D9" s="288">
        <f>'FACTURA LUZ '!$D$13+'FACTURA GAS'!$D$13</f>
        <v>403.81000000000006</v>
      </c>
      <c r="E9" s="288">
        <f>'FACTURA LUZ '!$D$13+'FACTURA GAS'!$D$13</f>
        <v>403.81000000000006</v>
      </c>
      <c r="F9" s="288">
        <f>'FACTURA LUZ '!$D$13+'FACTURA GAS'!$D$13</f>
        <v>403.81000000000006</v>
      </c>
      <c r="G9" s="288">
        <f>'FACTURA LUZ '!$D$13+'FACTURA GAS'!$D$13</f>
        <v>403.81000000000006</v>
      </c>
      <c r="H9" s="288">
        <f>'FACTURA LUZ '!$D$13+'FACTURA GAS'!$D$13</f>
        <v>403.81000000000006</v>
      </c>
      <c r="I9" s="288">
        <f>'FACTURA LUZ '!$D$13+'FACTURA GAS'!$D$13</f>
        <v>403.81000000000006</v>
      </c>
      <c r="J9" s="288">
        <f>'FACTURA LUZ '!$D$13+'FACTURA GAS'!$D$13</f>
        <v>403.81000000000006</v>
      </c>
      <c r="K9" s="288">
        <f>'FACTURA LUZ '!$D$13+'FACTURA GAS'!$D$13</f>
        <v>403.81000000000006</v>
      </c>
      <c r="L9" s="288">
        <f>'FACTURA LUZ '!$D$13+'FACTURA GAS'!$D$13</f>
        <v>403.81000000000006</v>
      </c>
      <c r="M9" s="288">
        <f>'FACTURA LUZ '!$D$13+'FACTURA GAS'!$D$13</f>
        <v>403.81000000000006</v>
      </c>
      <c r="N9" s="288">
        <f>'FACTURA LUZ '!$D$13+'FACTURA GAS'!$D$13</f>
        <v>403.81000000000006</v>
      </c>
      <c r="O9" s="432">
        <f t="shared" si="0"/>
        <v>4845.72</v>
      </c>
      <c r="P9" s="431">
        <v>4845.7595999999994</v>
      </c>
      <c r="Q9" s="431"/>
    </row>
    <row r="10" spans="2:17" ht="16.5" x14ac:dyDescent="0.25">
      <c r="B10" s="290" t="s">
        <v>30</v>
      </c>
      <c r="C10" s="288">
        <f>'FACTURA VODAFONE'!$D$16</f>
        <v>120.25</v>
      </c>
      <c r="D10" s="288">
        <f>'FACTURA VODAFONE'!$D$16</f>
        <v>120.25</v>
      </c>
      <c r="E10" s="288">
        <f>'FACTURA VODAFONE'!$D$16</f>
        <v>120.25</v>
      </c>
      <c r="F10" s="288">
        <f>'FACTURA VODAFONE'!$D$16</f>
        <v>120.25</v>
      </c>
      <c r="G10" s="288">
        <f>'FACTURA VODAFONE'!$D$16</f>
        <v>120.25</v>
      </c>
      <c r="H10" s="288">
        <f>'FACTURA VODAFONE'!$D$16</f>
        <v>120.25</v>
      </c>
      <c r="I10" s="288">
        <f>'FACTURA VODAFONE'!$D$16</f>
        <v>120.25</v>
      </c>
      <c r="J10" s="288">
        <f>'FACTURA VODAFONE'!$D$16</f>
        <v>120.25</v>
      </c>
      <c r="K10" s="288">
        <f>'FACTURA VODAFONE'!$D$16</f>
        <v>120.25</v>
      </c>
      <c r="L10" s="288">
        <f>'FACTURA VODAFONE'!$D$16</f>
        <v>120.25</v>
      </c>
      <c r="M10" s="288">
        <f>'FACTURA VODAFONE'!$D$16</f>
        <v>120.25</v>
      </c>
      <c r="N10" s="288">
        <f>'FACTURA VODAFONE'!$D$16</f>
        <v>120.25</v>
      </c>
      <c r="O10" s="432">
        <f t="shared" si="0"/>
        <v>1443</v>
      </c>
      <c r="P10" s="431">
        <v>1190.6400000000001</v>
      </c>
      <c r="Q10" s="431"/>
    </row>
    <row r="11" spans="2:17" ht="18.75" x14ac:dyDescent="0.3">
      <c r="C11" s="479" t="s">
        <v>31</v>
      </c>
      <c r="D11" s="479"/>
      <c r="E11" s="479"/>
      <c r="F11" s="479"/>
      <c r="G11" s="479"/>
      <c r="H11" s="479"/>
      <c r="I11" s="479"/>
      <c r="J11" s="479"/>
      <c r="K11" s="479"/>
      <c r="L11" s="479"/>
      <c r="M11" s="479"/>
      <c r="N11" s="479"/>
      <c r="O11" s="432">
        <f t="shared" si="0"/>
        <v>0</v>
      </c>
      <c r="P11" s="431">
        <v>0</v>
      </c>
      <c r="Q11" s="431"/>
    </row>
    <row r="12" spans="2:17" ht="16.5" x14ac:dyDescent="0.25">
      <c r="B12" s="287" t="s">
        <v>32</v>
      </c>
      <c r="C12" s="288">
        <f>'ALQUILER LOCAL'!$C$15</f>
        <v>4500</v>
      </c>
      <c r="D12" s="288">
        <f>'ALQUILER LOCAL'!$C$15</f>
        <v>4500</v>
      </c>
      <c r="E12" s="288">
        <f>'ALQUILER LOCAL'!$C$15</f>
        <v>4500</v>
      </c>
      <c r="F12" s="288">
        <f>'ALQUILER LOCAL'!$C$15</f>
        <v>4500</v>
      </c>
      <c r="G12" s="288">
        <f>'ALQUILER LOCAL'!$C$15</f>
        <v>4500</v>
      </c>
      <c r="H12" s="288">
        <f>'ALQUILER LOCAL'!$C$15</f>
        <v>4500</v>
      </c>
      <c r="I12" s="288">
        <f>'ALQUILER LOCAL'!$C$15</f>
        <v>4500</v>
      </c>
      <c r="J12" s="288">
        <f>'ALQUILER LOCAL'!$C$15</f>
        <v>4500</v>
      </c>
      <c r="K12" s="288">
        <f>'ALQUILER LOCAL'!$C$15</f>
        <v>4500</v>
      </c>
      <c r="L12" s="288">
        <f>'ALQUILER LOCAL'!$C$15</f>
        <v>4500</v>
      </c>
      <c r="M12" s="288">
        <f>'ALQUILER LOCAL'!$C$15</f>
        <v>4500</v>
      </c>
      <c r="N12" s="288">
        <f>'ALQUILER LOCAL'!$C$15</f>
        <v>4500</v>
      </c>
      <c r="O12" s="432">
        <f t="shared" si="0"/>
        <v>54000</v>
      </c>
      <c r="P12" s="431">
        <v>18360</v>
      </c>
      <c r="Q12" s="431"/>
    </row>
    <row r="13" spans="2:17" ht="18.75" x14ac:dyDescent="0.3">
      <c r="B13" s="291"/>
      <c r="C13" s="479" t="s">
        <v>33</v>
      </c>
      <c r="D13" s="479"/>
      <c r="E13" s="479"/>
      <c r="F13" s="479"/>
      <c r="G13" s="479"/>
      <c r="H13" s="479"/>
      <c r="I13" s="479"/>
      <c r="J13" s="479"/>
      <c r="K13" s="479"/>
      <c r="L13" s="479"/>
      <c r="M13" s="479"/>
      <c r="N13" s="479"/>
      <c r="O13" s="432">
        <f t="shared" si="0"/>
        <v>0</v>
      </c>
      <c r="P13" s="431">
        <v>0</v>
      </c>
      <c r="Q13" s="431"/>
    </row>
    <row r="14" spans="2:17" ht="16.5" x14ac:dyDescent="0.25">
      <c r="B14" s="289" t="s">
        <v>34</v>
      </c>
      <c r="C14" s="288">
        <f>'Cálculos Nómina'!C10</f>
        <v>7690.5</v>
      </c>
      <c r="D14" s="288">
        <f>'Cálculos Nómina'!$C$10</f>
        <v>7690.5</v>
      </c>
      <c r="E14" s="288">
        <f>'Cálculos Nómina'!$C$10</f>
        <v>7690.5</v>
      </c>
      <c r="F14" s="288">
        <f>'Cálculos Nómina'!$C$10</f>
        <v>7690.5</v>
      </c>
      <c r="G14" s="288">
        <f>'Cálculos Nómina'!$C$10</f>
        <v>7690.5</v>
      </c>
      <c r="H14" s="288">
        <f>'Cálculos Nómina'!$C$10</f>
        <v>7690.5</v>
      </c>
      <c r="I14" s="288">
        <f>'Cálculos Nómina'!$C$10</f>
        <v>7690.5</v>
      </c>
      <c r="J14" s="288">
        <f>'Cálculos Nómina'!$C$10</f>
        <v>7690.5</v>
      </c>
      <c r="K14" s="288">
        <f>'Cálculos Nómina'!$C$10</f>
        <v>7690.5</v>
      </c>
      <c r="L14" s="288">
        <f>'Cálculos Nómina'!$C$10</f>
        <v>7690.5</v>
      </c>
      <c r="M14" s="288">
        <f>'Cálculos Nómina'!$C$10</f>
        <v>7690.5</v>
      </c>
      <c r="N14" s="288">
        <f>'Cálculos Nómina'!$C$10</f>
        <v>7690.5</v>
      </c>
      <c r="O14" s="432">
        <f t="shared" si="0"/>
        <v>92286</v>
      </c>
      <c r="P14" s="431">
        <v>101928.03959999997</v>
      </c>
      <c r="Q14" s="431">
        <f>O14+O15</f>
        <v>102618.7447</v>
      </c>
    </row>
    <row r="15" spans="2:17" ht="16.5" x14ac:dyDescent="0.25">
      <c r="B15" s="289" t="s">
        <v>35</v>
      </c>
      <c r="C15" s="288">
        <f>'Cálculos Nómina'!C20</f>
        <v>861.06205833333331</v>
      </c>
      <c r="D15" s="288">
        <f>'Cálculos Nómina'!$C$20</f>
        <v>861.06205833333331</v>
      </c>
      <c r="E15" s="288">
        <f>'Cálculos Nómina'!$C$20</f>
        <v>861.06205833333331</v>
      </c>
      <c r="F15" s="288">
        <f>'Cálculos Nómina'!$C$20</f>
        <v>861.06205833333331</v>
      </c>
      <c r="G15" s="288">
        <f>'Cálculos Nómina'!$C$20</f>
        <v>861.06205833333331</v>
      </c>
      <c r="H15" s="288">
        <f>'Cálculos Nómina'!$C$20</f>
        <v>861.06205833333331</v>
      </c>
      <c r="I15" s="288">
        <f>'Cálculos Nómina'!$C$20</f>
        <v>861.06205833333331</v>
      </c>
      <c r="J15" s="288">
        <f>'Cálculos Nómina'!$C$20</f>
        <v>861.06205833333331</v>
      </c>
      <c r="K15" s="288">
        <f>'Cálculos Nómina'!$C$20</f>
        <v>861.06205833333331</v>
      </c>
      <c r="L15" s="288">
        <f>'Cálculos Nómina'!$C$20</f>
        <v>861.06205833333331</v>
      </c>
      <c r="M15" s="288">
        <f>'Cálculos Nómina'!$C$20</f>
        <v>861.06205833333331</v>
      </c>
      <c r="N15" s="288">
        <f>'Cálculos Nómina'!$C$20</f>
        <v>861.06205833333331</v>
      </c>
      <c r="O15" s="432">
        <f t="shared" si="0"/>
        <v>10332.744699999997</v>
      </c>
      <c r="P15" s="431">
        <v>15400.134380000005</v>
      </c>
      <c r="Q15" s="431">
        <f>P14+P15+P28</f>
        <v>120028.17397999998</v>
      </c>
    </row>
    <row r="16" spans="2:17" ht="18.75" x14ac:dyDescent="0.3">
      <c r="C16" s="479" t="s">
        <v>198</v>
      </c>
      <c r="D16" s="479"/>
      <c r="E16" s="479"/>
      <c r="F16" s="479"/>
      <c r="G16" s="479"/>
      <c r="H16" s="479"/>
      <c r="I16" s="479"/>
      <c r="J16" s="479"/>
      <c r="K16" s="479"/>
      <c r="L16" s="479"/>
      <c r="M16" s="479"/>
      <c r="N16" s="479"/>
      <c r="O16" s="432">
        <f t="shared" si="0"/>
        <v>0</v>
      </c>
      <c r="P16" s="431">
        <v>0</v>
      </c>
      <c r="Q16" s="431"/>
    </row>
    <row r="17" spans="2:17" ht="16.5" x14ac:dyDescent="0.25">
      <c r="B17" s="289" t="s">
        <v>37</v>
      </c>
      <c r="C17" s="288">
        <f>'Póliza de seguro'!$C$17</f>
        <v>615.29999999999995</v>
      </c>
      <c r="D17" s="288">
        <f>'Póliza de seguro'!$C$17</f>
        <v>615.29999999999995</v>
      </c>
      <c r="E17" s="288">
        <f>'Póliza de seguro'!$C$17</f>
        <v>615.29999999999995</v>
      </c>
      <c r="F17" s="288">
        <f>'Póliza de seguro'!$C$17</f>
        <v>615.29999999999995</v>
      </c>
      <c r="G17" s="288">
        <f>'Póliza de seguro'!$C$17</f>
        <v>615.29999999999995</v>
      </c>
      <c r="H17" s="288">
        <f>'Póliza de seguro'!$C$17</f>
        <v>615.29999999999995</v>
      </c>
      <c r="I17" s="288">
        <f>'Póliza de seguro'!$C$17</f>
        <v>615.29999999999995</v>
      </c>
      <c r="J17" s="288">
        <f>'Póliza de seguro'!$C$17</f>
        <v>615.29999999999995</v>
      </c>
      <c r="K17" s="288">
        <f>'Póliza de seguro'!$C$17</f>
        <v>615.29999999999995</v>
      </c>
      <c r="L17" s="288">
        <f>'Póliza de seguro'!$C$17</f>
        <v>615.29999999999995</v>
      </c>
      <c r="M17" s="288">
        <f>'Póliza de seguro'!$C$17</f>
        <v>615.29999999999995</v>
      </c>
      <c r="N17" s="288">
        <f>'Póliza de seguro'!$C$17</f>
        <v>615.29999999999995</v>
      </c>
      <c r="O17" s="432">
        <f t="shared" si="0"/>
        <v>7383.6000000000013</v>
      </c>
      <c r="P17" s="431">
        <v>7383.6000000000013</v>
      </c>
      <c r="Q17" s="431"/>
    </row>
    <row r="18" spans="2:17" ht="18.75" x14ac:dyDescent="0.3">
      <c r="C18" s="479" t="s">
        <v>191</v>
      </c>
      <c r="D18" s="479"/>
      <c r="E18" s="479"/>
      <c r="F18" s="479"/>
      <c r="G18" s="479"/>
      <c r="H18" s="479"/>
      <c r="I18" s="479"/>
      <c r="J18" s="479"/>
      <c r="K18" s="479"/>
      <c r="L18" s="479"/>
      <c r="M18" s="479"/>
      <c r="N18" s="479"/>
      <c r="O18" s="432">
        <f t="shared" si="0"/>
        <v>0</v>
      </c>
      <c r="P18" s="431">
        <v>0</v>
      </c>
      <c r="Q18" s="431"/>
    </row>
    <row r="19" spans="2:17" ht="18.75" x14ac:dyDescent="0.3">
      <c r="C19" s="480" t="s">
        <v>192</v>
      </c>
      <c r="D19" s="480"/>
      <c r="E19" s="480"/>
      <c r="F19" s="480"/>
      <c r="G19" s="480"/>
      <c r="H19" s="480"/>
      <c r="I19" s="480"/>
      <c r="J19" s="480"/>
      <c r="K19" s="480"/>
      <c r="L19" s="480"/>
      <c r="M19" s="480"/>
      <c r="N19" s="480"/>
      <c r="O19" s="432">
        <f t="shared" si="0"/>
        <v>0</v>
      </c>
      <c r="P19" s="431">
        <v>561.28</v>
      </c>
      <c r="Q19" s="431"/>
    </row>
    <row r="20" spans="2:17" ht="16.5" x14ac:dyDescent="0.25">
      <c r="B20" s="289" t="s">
        <v>193</v>
      </c>
      <c r="C20" s="288">
        <f>'INVERSIÓN Y AMORT.'!$H$14</f>
        <v>9.3546666666666667</v>
      </c>
      <c r="D20" s="288">
        <f>'INVERSIÓN Y AMORT.'!$H$14</f>
        <v>9.3546666666666667</v>
      </c>
      <c r="E20" s="288">
        <f>'INVERSIÓN Y AMORT.'!$H$14</f>
        <v>9.3546666666666667</v>
      </c>
      <c r="F20" s="288">
        <f>'INVERSIÓN Y AMORT.'!$H$14</f>
        <v>9.3546666666666667</v>
      </c>
      <c r="G20" s="288">
        <f>'INVERSIÓN Y AMORT.'!$H$14</f>
        <v>9.3546666666666667</v>
      </c>
      <c r="H20" s="288">
        <f>'INVERSIÓN Y AMORT.'!$H$14</f>
        <v>9.3546666666666667</v>
      </c>
      <c r="I20" s="288">
        <f>'INVERSIÓN Y AMORT.'!$H$14</f>
        <v>9.3546666666666667</v>
      </c>
      <c r="J20" s="288">
        <f>'INVERSIÓN Y AMORT.'!$H$14</f>
        <v>9.3546666666666667</v>
      </c>
      <c r="K20" s="288">
        <f>'INVERSIÓN Y AMORT.'!$H$14</f>
        <v>9.3546666666666667</v>
      </c>
      <c r="L20" s="288">
        <f>'INVERSIÓN Y AMORT.'!$H$14</f>
        <v>9.3546666666666667</v>
      </c>
      <c r="M20" s="288">
        <f>'INVERSIÓN Y AMORT.'!$H$14</f>
        <v>9.3546666666666667</v>
      </c>
      <c r="N20" s="288">
        <f>'INVERSIÓN Y AMORT.'!$H$14</f>
        <v>9.3546666666666667</v>
      </c>
      <c r="O20" s="432">
        <f t="shared" si="0"/>
        <v>112.25600000000003</v>
      </c>
      <c r="P20" s="431">
        <v>3500</v>
      </c>
      <c r="Q20" s="431"/>
    </row>
    <row r="21" spans="2:17" ht="18.75" x14ac:dyDescent="0.3">
      <c r="C21" s="480" t="s">
        <v>194</v>
      </c>
      <c r="D21" s="480"/>
      <c r="E21" s="480"/>
      <c r="F21" s="480"/>
      <c r="G21" s="480"/>
      <c r="H21" s="480"/>
      <c r="I21" s="480"/>
      <c r="J21" s="480"/>
      <c r="K21" s="480"/>
      <c r="L21" s="480"/>
      <c r="M21" s="480"/>
      <c r="N21" s="480"/>
      <c r="O21" s="432">
        <f t="shared" si="0"/>
        <v>0</v>
      </c>
      <c r="P21" s="431">
        <v>294.95</v>
      </c>
      <c r="Q21" s="431"/>
    </row>
    <row r="22" spans="2:17" ht="16.5" x14ac:dyDescent="0.25">
      <c r="B22" s="289" t="s">
        <v>195</v>
      </c>
      <c r="C22" s="288">
        <f>'INVERSIÓN Y AMORT.'!$H$19</f>
        <v>9.125</v>
      </c>
      <c r="D22" s="288">
        <f>'INVERSIÓN Y AMORT.'!$H$19</f>
        <v>9.125</v>
      </c>
      <c r="E22" s="288">
        <f>'INVERSIÓN Y AMORT.'!$H$19</f>
        <v>9.125</v>
      </c>
      <c r="F22" s="288">
        <f>'INVERSIÓN Y AMORT.'!$H$19</f>
        <v>9.125</v>
      </c>
      <c r="G22" s="288">
        <f>'INVERSIÓN Y AMORT.'!$H$19</f>
        <v>9.125</v>
      </c>
      <c r="H22" s="288">
        <f>'INVERSIÓN Y AMORT.'!$H$19</f>
        <v>9.125</v>
      </c>
      <c r="I22" s="288">
        <f>'INVERSIÓN Y AMORT.'!$H$19</f>
        <v>9.125</v>
      </c>
      <c r="J22" s="288">
        <f>'INVERSIÓN Y AMORT.'!$H$19</f>
        <v>9.125</v>
      </c>
      <c r="K22" s="288">
        <f>'INVERSIÓN Y AMORT.'!$H$19</f>
        <v>9.125</v>
      </c>
      <c r="L22" s="288">
        <f>'INVERSIÓN Y AMORT.'!$H$19</f>
        <v>9.125</v>
      </c>
      <c r="M22" s="288">
        <f>'INVERSIÓN Y AMORT.'!$H$19</f>
        <v>9.125</v>
      </c>
      <c r="N22" s="288">
        <f>'INVERSIÓN Y AMORT.'!$H$19</f>
        <v>9.125</v>
      </c>
      <c r="O22" s="432">
        <f t="shared" si="0"/>
        <v>109.5</v>
      </c>
      <c r="P22" s="431">
        <v>2580</v>
      </c>
      <c r="Q22" s="431"/>
    </row>
    <row r="23" spans="2:17" ht="16.5" x14ac:dyDescent="0.25">
      <c r="B23" s="289" t="s">
        <v>196</v>
      </c>
      <c r="C23" s="288">
        <f>'INVERSIÓN Y AMORT.'!$H$20</f>
        <v>2.5825</v>
      </c>
      <c r="D23" s="288">
        <f>'INVERSIÓN Y AMORT.'!$H$20</f>
        <v>2.5825</v>
      </c>
      <c r="E23" s="288">
        <f>'INVERSIÓN Y AMORT.'!$H$20</f>
        <v>2.5825</v>
      </c>
      <c r="F23" s="288">
        <f>'INVERSIÓN Y AMORT.'!$H$20</f>
        <v>2.5825</v>
      </c>
      <c r="G23" s="288">
        <f>'INVERSIÓN Y AMORT.'!$H$20</f>
        <v>2.5825</v>
      </c>
      <c r="H23" s="288">
        <f>'INVERSIÓN Y AMORT.'!$H$20</f>
        <v>2.5825</v>
      </c>
      <c r="I23" s="288">
        <f>'INVERSIÓN Y AMORT.'!$H$20</f>
        <v>2.5825</v>
      </c>
      <c r="J23" s="288">
        <f>'INVERSIÓN Y AMORT.'!$H$20</f>
        <v>2.5825</v>
      </c>
      <c r="K23" s="288">
        <f>'INVERSIÓN Y AMORT.'!$H$20</f>
        <v>2.5825</v>
      </c>
      <c r="L23" s="288">
        <f>'INVERSIÓN Y AMORT.'!$H$20</f>
        <v>2.5825</v>
      </c>
      <c r="M23" s="288">
        <f>'INVERSIÓN Y AMORT.'!$H$20</f>
        <v>2.5825</v>
      </c>
      <c r="N23" s="288">
        <f>'INVERSIÓN Y AMORT.'!$H$20</f>
        <v>2.5825</v>
      </c>
      <c r="O23" s="432">
        <f t="shared" si="0"/>
        <v>30.99</v>
      </c>
      <c r="P23" s="431">
        <v>184938.72</v>
      </c>
      <c r="Q23" s="431"/>
    </row>
    <row r="24" spans="2:17" ht="16.5" x14ac:dyDescent="0.25">
      <c r="B24" s="289" t="s">
        <v>197</v>
      </c>
      <c r="C24" s="288">
        <f>'INVERSIÓN Y AMORT.'!$H$21</f>
        <v>7.9343452380952391</v>
      </c>
      <c r="D24" s="288">
        <f>'INVERSIÓN Y AMORT.'!$H$21</f>
        <v>7.9343452380952391</v>
      </c>
      <c r="E24" s="288">
        <f>'INVERSIÓN Y AMORT.'!$H$21</f>
        <v>7.9343452380952391</v>
      </c>
      <c r="F24" s="288">
        <f>'INVERSIÓN Y AMORT.'!$H$21</f>
        <v>7.9343452380952391</v>
      </c>
      <c r="G24" s="288">
        <f>'INVERSIÓN Y AMORT.'!$H$21</f>
        <v>7.9343452380952391</v>
      </c>
      <c r="H24" s="288">
        <f>'INVERSIÓN Y AMORT.'!$H$21</f>
        <v>7.9343452380952391</v>
      </c>
      <c r="I24" s="288">
        <f>'INVERSIÓN Y AMORT.'!$H$21</f>
        <v>7.9343452380952391</v>
      </c>
      <c r="J24" s="288">
        <f>'INVERSIÓN Y AMORT.'!$H$21</f>
        <v>7.9343452380952391</v>
      </c>
      <c r="K24" s="288">
        <f>'INVERSIÓN Y AMORT.'!$H$21</f>
        <v>7.9343452380952391</v>
      </c>
      <c r="L24" s="288">
        <f>'INVERSIÓN Y AMORT.'!$H$21</f>
        <v>7.9343452380952391</v>
      </c>
      <c r="M24" s="288">
        <f>'INVERSIÓN Y AMORT.'!$H$21</f>
        <v>7.9343452380952391</v>
      </c>
      <c r="N24" s="288">
        <f>'INVERSIÓN Y AMORT.'!$H$21</f>
        <v>7.9343452380952391</v>
      </c>
      <c r="O24" s="432">
        <f t="shared" si="0"/>
        <v>95.212142857142851</v>
      </c>
      <c r="P24" s="431">
        <v>4522.7</v>
      </c>
      <c r="Q24" s="431"/>
    </row>
    <row r="25" spans="2:17" ht="16.5" x14ac:dyDescent="0.25">
      <c r="B25" s="289" t="s">
        <v>199</v>
      </c>
      <c r="C25" s="288">
        <f>'INVERSIÓN Y AMORT.'!$H$18</f>
        <v>11.8890625</v>
      </c>
      <c r="D25" s="288">
        <f>'INVERSIÓN Y AMORT.'!$H$18</f>
        <v>11.8890625</v>
      </c>
      <c r="E25" s="288">
        <f>'INVERSIÓN Y AMORT.'!$H$18</f>
        <v>11.8890625</v>
      </c>
      <c r="F25" s="288">
        <f>'INVERSIÓN Y AMORT.'!$H$18</f>
        <v>11.8890625</v>
      </c>
      <c r="G25" s="288">
        <f>'INVERSIÓN Y AMORT.'!$H$18</f>
        <v>11.8890625</v>
      </c>
      <c r="H25" s="288">
        <f>'INVERSIÓN Y AMORT.'!$H$18</f>
        <v>11.8890625</v>
      </c>
      <c r="I25" s="288">
        <f>'INVERSIÓN Y AMORT.'!$H$18</f>
        <v>11.8890625</v>
      </c>
      <c r="J25" s="288">
        <f>'INVERSIÓN Y AMORT.'!$H$18</f>
        <v>11.8890625</v>
      </c>
      <c r="K25" s="288">
        <f>'INVERSIÓN Y AMORT.'!$H$18</f>
        <v>11.8890625</v>
      </c>
      <c r="L25" s="288">
        <f>'INVERSIÓN Y AMORT.'!$H$18</f>
        <v>11.8890625</v>
      </c>
      <c r="M25" s="288">
        <f>'INVERSIÓN Y AMORT.'!$H$18</f>
        <v>11.8890625</v>
      </c>
      <c r="N25" s="288">
        <f>'INVERSIÓN Y AMORT.'!$H$18</f>
        <v>11.8890625</v>
      </c>
      <c r="O25" s="432">
        <f t="shared" si="0"/>
        <v>142.66874999999996</v>
      </c>
      <c r="P25" s="431">
        <v>585</v>
      </c>
      <c r="Q25" s="431"/>
    </row>
    <row r="26" spans="2:17" ht="18.75" x14ac:dyDescent="0.3">
      <c r="C26" s="479" t="s">
        <v>209</v>
      </c>
      <c r="D26" s="479"/>
      <c r="E26" s="479"/>
      <c r="F26" s="479"/>
      <c r="G26" s="479"/>
      <c r="H26" s="479"/>
      <c r="I26" s="479"/>
      <c r="J26" s="479"/>
      <c r="K26" s="479"/>
      <c r="L26" s="479"/>
      <c r="M26" s="479"/>
      <c r="N26" s="479"/>
      <c r="O26" s="432">
        <f t="shared" si="0"/>
        <v>0</v>
      </c>
      <c r="P26" s="431">
        <v>105.8</v>
      </c>
      <c r="Q26" s="431"/>
    </row>
    <row r="27" spans="2:17" ht="16.5" x14ac:dyDescent="0.25">
      <c r="B27" s="289" t="s">
        <v>221</v>
      </c>
      <c r="C27" s="288">
        <f>'FACTURA NOTARÍA'!$C$14</f>
        <v>105.8</v>
      </c>
      <c r="D27" s="373">
        <v>0</v>
      </c>
      <c r="E27" s="373">
        <v>0</v>
      </c>
      <c r="F27" s="373">
        <v>0</v>
      </c>
      <c r="G27" s="373">
        <v>0</v>
      </c>
      <c r="H27" s="373">
        <v>0</v>
      </c>
      <c r="I27" s="373">
        <v>0</v>
      </c>
      <c r="J27" s="373">
        <v>0</v>
      </c>
      <c r="K27" s="373">
        <v>0</v>
      </c>
      <c r="L27" s="373">
        <v>0</v>
      </c>
      <c r="M27" s="373">
        <v>0</v>
      </c>
      <c r="N27" s="373">
        <v>0</v>
      </c>
      <c r="O27" s="432">
        <f t="shared" si="0"/>
        <v>105.8</v>
      </c>
      <c r="P27" s="431">
        <v>1660.9839120000252</v>
      </c>
      <c r="Q27" s="431"/>
    </row>
    <row r="28" spans="2:17" ht="16.5" x14ac:dyDescent="0.25">
      <c r="B28" s="289" t="s">
        <v>222</v>
      </c>
      <c r="C28" s="288">
        <f>'factura trámite'!$E$16</f>
        <v>350</v>
      </c>
      <c r="D28" s="373">
        <v>0</v>
      </c>
      <c r="E28" s="373">
        <v>0</v>
      </c>
      <c r="F28" s="373">
        <v>0</v>
      </c>
      <c r="G28" s="373">
        <v>0</v>
      </c>
      <c r="H28" s="373">
        <v>0</v>
      </c>
      <c r="I28" s="373">
        <v>0</v>
      </c>
      <c r="J28" s="373">
        <v>0</v>
      </c>
      <c r="K28" s="373">
        <v>0</v>
      </c>
      <c r="L28" s="373">
        <v>0</v>
      </c>
      <c r="M28" s="373">
        <v>0</v>
      </c>
      <c r="N28" s="373">
        <v>0</v>
      </c>
      <c r="O28" s="432">
        <f t="shared" si="0"/>
        <v>350</v>
      </c>
      <c r="P28" s="431">
        <v>2700</v>
      </c>
      <c r="Q28" s="431"/>
    </row>
    <row r="30" spans="2:17" ht="19.5" thickBot="1" x14ac:dyDescent="0.3">
      <c r="B30" s="292" t="s">
        <v>239</v>
      </c>
      <c r="C30" s="293">
        <f t="shared" ref="C30:N30" si="1">SUM(C8:C28)</f>
        <v>14791.007632738092</v>
      </c>
      <c r="D30" s="293">
        <f t="shared" si="1"/>
        <v>14335.207632738093</v>
      </c>
      <c r="E30" s="293">
        <f t="shared" si="1"/>
        <v>14335.207632738093</v>
      </c>
      <c r="F30" s="293">
        <f t="shared" si="1"/>
        <v>14335.207632738093</v>
      </c>
      <c r="G30" s="293">
        <f t="shared" si="1"/>
        <v>14335.207632738093</v>
      </c>
      <c r="H30" s="293">
        <f t="shared" si="1"/>
        <v>14335.207632738093</v>
      </c>
      <c r="I30" s="293">
        <f t="shared" si="1"/>
        <v>14335.207632738093</v>
      </c>
      <c r="J30" s="293">
        <f t="shared" si="1"/>
        <v>14335.207632738093</v>
      </c>
      <c r="K30" s="293">
        <f t="shared" si="1"/>
        <v>14335.207632738093</v>
      </c>
      <c r="L30" s="293">
        <f t="shared" si="1"/>
        <v>14335.207632738093</v>
      </c>
      <c r="M30" s="293">
        <f t="shared" si="1"/>
        <v>14335.207632738093</v>
      </c>
      <c r="N30" s="293">
        <f t="shared" si="1"/>
        <v>14335.207632738093</v>
      </c>
    </row>
    <row r="31" spans="2:17" ht="20.25" thickTop="1" thickBot="1" x14ac:dyDescent="0.35">
      <c r="B31" s="294" t="s">
        <v>14</v>
      </c>
      <c r="C31" s="295">
        <f>SUM(C30:N30)</f>
        <v>172478.29159285716</v>
      </c>
    </row>
    <row r="32" spans="2:17" ht="16.5" thickTop="1" x14ac:dyDescent="0.25"/>
    <row r="33" spans="2:17" ht="20.25" x14ac:dyDescent="0.3">
      <c r="C33" s="477" t="s">
        <v>358</v>
      </c>
      <c r="D33" s="477"/>
      <c r="E33" s="477"/>
      <c r="F33" s="477"/>
      <c r="G33" s="477"/>
      <c r="H33" s="477"/>
      <c r="I33" s="477"/>
      <c r="J33" s="477"/>
      <c r="K33" s="477"/>
      <c r="L33" s="477"/>
      <c r="M33" s="477"/>
      <c r="N33" s="477"/>
    </row>
    <row r="34" spans="2:17" x14ac:dyDescent="0.25">
      <c r="C34" s="285" t="s">
        <v>17</v>
      </c>
      <c r="D34" s="285" t="s">
        <v>18</v>
      </c>
      <c r="E34" s="285" t="s">
        <v>19</v>
      </c>
      <c r="F34" s="285" t="s">
        <v>20</v>
      </c>
      <c r="G34" s="285" t="s">
        <v>21</v>
      </c>
      <c r="H34" s="285" t="s">
        <v>22</v>
      </c>
      <c r="I34" s="285" t="s">
        <v>23</v>
      </c>
      <c r="J34" s="285" t="s">
        <v>24</v>
      </c>
      <c r="K34" s="285" t="s">
        <v>25</v>
      </c>
      <c r="L34" s="285" t="s">
        <v>26</v>
      </c>
      <c r="M34" s="285" t="s">
        <v>27</v>
      </c>
      <c r="N34" s="285" t="s">
        <v>28</v>
      </c>
    </row>
    <row r="35" spans="2:17" x14ac:dyDescent="0.25">
      <c r="C35" s="478"/>
      <c r="D35" s="478"/>
      <c r="E35" s="478"/>
      <c r="F35" s="478"/>
      <c r="G35" s="478"/>
      <c r="H35" s="478"/>
      <c r="I35" s="478"/>
      <c r="J35" s="478"/>
      <c r="K35" s="478"/>
      <c r="L35" s="478"/>
      <c r="M35" s="478"/>
      <c r="N35" s="478"/>
    </row>
    <row r="36" spans="2:17" ht="16.5" x14ac:dyDescent="0.25">
      <c r="B36" s="289" t="s">
        <v>359</v>
      </c>
      <c r="C36" s="288">
        <f>ingresos!C28</f>
        <v>16490.26325</v>
      </c>
      <c r="D36" s="288">
        <f>ingresos!D28</f>
        <v>15641.996999999999</v>
      </c>
      <c r="E36" s="288">
        <f>ingresos!E28</f>
        <v>17585.626250000001</v>
      </c>
      <c r="F36" s="288">
        <f>ingresos!F28</f>
        <v>17626.178500000002</v>
      </c>
      <c r="G36" s="288">
        <f>ingresos!G28</f>
        <v>18469.534250000001</v>
      </c>
      <c r="H36" s="288">
        <f>ingresos!H28</f>
        <v>15540.58375</v>
      </c>
      <c r="I36" s="288">
        <f>ingresos!I28</f>
        <v>18063.205000000002</v>
      </c>
      <c r="J36" s="288">
        <f>ingresos!J28</f>
        <v>18453.600250000003</v>
      </c>
      <c r="K36" s="288">
        <f>ingresos!K28</f>
        <v>18103.491249999999</v>
      </c>
      <c r="L36" s="288">
        <f>ingresos!L28</f>
        <v>16193.9925</v>
      </c>
      <c r="M36" s="288">
        <f>ingresos!M28</f>
        <v>17134.958250000003</v>
      </c>
      <c r="N36" s="288">
        <f>ingresos!N28</f>
        <v>17470.135750000001</v>
      </c>
      <c r="O36" s="431">
        <f>SUM(C36:N36)</f>
        <v>206773.56599999999</v>
      </c>
    </row>
    <row r="38" spans="2:17" ht="19.5" thickBot="1" x14ac:dyDescent="0.35">
      <c r="B38" s="292" t="s">
        <v>360</v>
      </c>
      <c r="C38" s="370">
        <f>SUM(C36:N36)</f>
        <v>206773.56599999999</v>
      </c>
    </row>
    <row r="39" spans="2:17" ht="16.5" thickTop="1" x14ac:dyDescent="0.25"/>
    <row r="42" spans="2:17" ht="20.25" x14ac:dyDescent="0.3">
      <c r="C42" s="477" t="s">
        <v>361</v>
      </c>
      <c r="D42" s="477"/>
      <c r="E42" s="477"/>
      <c r="F42" s="477"/>
      <c r="G42" s="477"/>
      <c r="H42" s="477"/>
      <c r="I42" s="477"/>
      <c r="J42" s="477"/>
      <c r="K42" s="477"/>
      <c r="L42" s="477"/>
      <c r="M42" s="477"/>
      <c r="N42" s="477"/>
    </row>
    <row r="43" spans="2:17" ht="22.5" customHeight="1" x14ac:dyDescent="0.25">
      <c r="C43" s="285" t="s">
        <v>17</v>
      </c>
      <c r="D43" s="285" t="s">
        <v>18</v>
      </c>
      <c r="E43" s="285" t="s">
        <v>19</v>
      </c>
      <c r="F43" s="285" t="s">
        <v>20</v>
      </c>
      <c r="G43" s="285" t="s">
        <v>21</v>
      </c>
      <c r="H43" s="285" t="s">
        <v>22</v>
      </c>
      <c r="I43" s="285" t="s">
        <v>23</v>
      </c>
      <c r="J43" s="285" t="s">
        <v>24</v>
      </c>
      <c r="K43" s="285" t="s">
        <v>25</v>
      </c>
      <c r="L43" s="285" t="s">
        <v>26</v>
      </c>
      <c r="M43" s="285" t="s">
        <v>27</v>
      </c>
      <c r="N43" s="372" t="s">
        <v>28</v>
      </c>
      <c r="O43" s="475" t="s">
        <v>362</v>
      </c>
      <c r="P43" s="475" t="s">
        <v>364</v>
      </c>
      <c r="Q43" s="475" t="s">
        <v>363</v>
      </c>
    </row>
    <row r="44" spans="2:17" x14ac:dyDescent="0.25">
      <c r="C44" s="478"/>
      <c r="D44" s="478"/>
      <c r="E44" s="478"/>
      <c r="F44" s="478"/>
      <c r="G44" s="478"/>
      <c r="H44" s="478"/>
      <c r="I44" s="478"/>
      <c r="J44" s="478"/>
      <c r="K44" s="478"/>
      <c r="L44" s="478"/>
      <c r="M44" s="478"/>
      <c r="N44" s="478"/>
      <c r="O44" s="476"/>
      <c r="P44" s="476"/>
      <c r="Q44" s="476"/>
    </row>
    <row r="45" spans="2:17" ht="16.5" x14ac:dyDescent="0.25">
      <c r="B45" s="289" t="s">
        <v>387</v>
      </c>
      <c r="C45" s="373">
        <f t="shared" ref="C45:N45" si="2">C36-C30</f>
        <v>1699.2556172619079</v>
      </c>
      <c r="D45" s="373">
        <f t="shared" si="2"/>
        <v>1306.7893672619066</v>
      </c>
      <c r="E45" s="373">
        <f t="shared" si="2"/>
        <v>3250.4186172619084</v>
      </c>
      <c r="F45" s="373">
        <f t="shared" si="2"/>
        <v>3290.970867261909</v>
      </c>
      <c r="G45" s="373">
        <f t="shared" si="2"/>
        <v>4134.3266172619078</v>
      </c>
      <c r="H45" s="373">
        <f t="shared" si="2"/>
        <v>1205.376117261907</v>
      </c>
      <c r="I45" s="373">
        <f t="shared" si="2"/>
        <v>3727.9973672619089</v>
      </c>
      <c r="J45" s="373">
        <f t="shared" si="2"/>
        <v>4118.3926172619103</v>
      </c>
      <c r="K45" s="373">
        <f t="shared" si="2"/>
        <v>3768.2836172619063</v>
      </c>
      <c r="L45" s="373">
        <f t="shared" si="2"/>
        <v>1858.7848672619075</v>
      </c>
      <c r="M45" s="373">
        <f t="shared" si="2"/>
        <v>2799.7506172619105</v>
      </c>
      <c r="N45" s="373">
        <f t="shared" si="2"/>
        <v>3134.9281172619085</v>
      </c>
      <c r="O45" s="373">
        <f>SUM(C45:N45)</f>
        <v>34295.274407142897</v>
      </c>
      <c r="P45" s="373">
        <f>O45*0.25</f>
        <v>8573.8186017857242</v>
      </c>
      <c r="Q45" s="383">
        <f>O45-P45</f>
        <v>25721.455805357175</v>
      </c>
    </row>
    <row r="51" spans="2:11" x14ac:dyDescent="0.25">
      <c r="B51" s="283" t="s">
        <v>240</v>
      </c>
    </row>
    <row r="53" spans="2:11" x14ac:dyDescent="0.25">
      <c r="K53" s="371"/>
    </row>
    <row r="54" spans="2:11" x14ac:dyDescent="0.25">
      <c r="K54" s="371"/>
    </row>
  </sheetData>
  <mergeCells count="16">
    <mergeCell ref="C26:N26"/>
    <mergeCell ref="C19:N19"/>
    <mergeCell ref="C21:N21"/>
    <mergeCell ref="C18:N18"/>
    <mergeCell ref="C5:N5"/>
    <mergeCell ref="C11:N11"/>
    <mergeCell ref="C13:N13"/>
    <mergeCell ref="C16:N16"/>
    <mergeCell ref="C7:N7"/>
    <mergeCell ref="P43:P44"/>
    <mergeCell ref="Q43:Q44"/>
    <mergeCell ref="C33:N33"/>
    <mergeCell ref="C35:N35"/>
    <mergeCell ref="C42:N42"/>
    <mergeCell ref="C44:N44"/>
    <mergeCell ref="O43:O44"/>
  </mergeCells>
  <phoneticPr fontId="2" type="noConversion"/>
  <pageMargins left="0.25" right="0.25" top="0.75" bottom="0.75" header="0.3" footer="0.3"/>
  <pageSetup paperSize="11" scale="4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5:P69"/>
  <sheetViews>
    <sheetView showGridLines="0" topLeftCell="B5" zoomScale="80" zoomScaleNormal="80" workbookViewId="0">
      <pane xSplit="1" topLeftCell="C1" activePane="topRight" state="frozen"/>
      <selection activeCell="B6" sqref="B6"/>
      <selection pane="topRight" activeCell="C40" sqref="C40:N40"/>
    </sheetView>
  </sheetViews>
  <sheetFormatPr baseColWidth="10" defaultRowHeight="15.75" x14ac:dyDescent="0.25"/>
  <cols>
    <col min="1" max="1" width="3.42578125" style="284" customWidth="1"/>
    <col min="2" max="2" width="42.5703125" style="283" bestFit="1" customWidth="1"/>
    <col min="3" max="5" width="14.7109375" style="284" bestFit="1" customWidth="1"/>
    <col min="6" max="6" width="15.28515625" style="284" bestFit="1" customWidth="1"/>
    <col min="7" max="8" width="14.7109375" style="284" bestFit="1" customWidth="1"/>
    <col min="9" max="9" width="15.28515625" style="284" customWidth="1"/>
    <col min="10" max="11" width="14.7109375" style="284" bestFit="1" customWidth="1"/>
    <col min="12" max="12" width="16.28515625" style="284" bestFit="1" customWidth="1"/>
    <col min="13" max="14" width="14.7109375" style="284" bestFit="1" customWidth="1"/>
    <col min="15" max="15" width="0.28515625" style="284" customWidth="1"/>
    <col min="16" max="16" width="20.28515625" style="284" bestFit="1" customWidth="1"/>
    <col min="17" max="16384" width="11.42578125" style="284"/>
  </cols>
  <sheetData>
    <row r="5" spans="2:15" ht="20.25" x14ac:dyDescent="0.3">
      <c r="C5" s="481" t="s">
        <v>354</v>
      </c>
      <c r="D5" s="481"/>
      <c r="E5" s="481"/>
      <c r="F5" s="481"/>
      <c r="G5" s="481"/>
      <c r="H5" s="481"/>
      <c r="I5" s="481"/>
      <c r="J5" s="481"/>
      <c r="K5" s="481"/>
      <c r="L5" s="481"/>
      <c r="M5" s="481"/>
      <c r="N5" s="481"/>
    </row>
    <row r="6" spans="2:15" s="283" customFormat="1" x14ac:dyDescent="0.25">
      <c r="C6" s="364" t="s">
        <v>17</v>
      </c>
      <c r="D6" s="364" t="s">
        <v>18</v>
      </c>
      <c r="E6" s="364" t="s">
        <v>19</v>
      </c>
      <c r="F6" s="364" t="s">
        <v>20</v>
      </c>
      <c r="G6" s="364" t="s">
        <v>21</v>
      </c>
      <c r="H6" s="364" t="s">
        <v>22</v>
      </c>
      <c r="I6" s="364" t="s">
        <v>23</v>
      </c>
      <c r="J6" s="364" t="s">
        <v>24</v>
      </c>
      <c r="K6" s="364" t="s">
        <v>25</v>
      </c>
      <c r="L6" s="364" t="s">
        <v>26</v>
      </c>
      <c r="M6" s="364" t="s">
        <v>27</v>
      </c>
      <c r="N6" s="364" t="s">
        <v>28</v>
      </c>
    </row>
    <row r="7" spans="2:15" s="379" customFormat="1" hidden="1" x14ac:dyDescent="0.25">
      <c r="C7" s="380">
        <v>1</v>
      </c>
      <c r="D7" s="380">
        <v>2</v>
      </c>
      <c r="E7" s="380">
        <v>1</v>
      </c>
      <c r="F7" s="380">
        <v>2</v>
      </c>
      <c r="G7" s="380">
        <v>1</v>
      </c>
      <c r="H7" s="380">
        <v>2</v>
      </c>
      <c r="I7" s="380">
        <v>1</v>
      </c>
      <c r="J7" s="380">
        <v>2</v>
      </c>
      <c r="K7" s="380">
        <v>1</v>
      </c>
      <c r="L7" s="380">
        <v>2</v>
      </c>
      <c r="M7" s="380">
        <v>1</v>
      </c>
      <c r="N7" s="380">
        <v>2</v>
      </c>
    </row>
    <row r="8" spans="2:15" x14ac:dyDescent="0.25">
      <c r="B8" s="482"/>
      <c r="C8" s="482"/>
      <c r="D8" s="482"/>
      <c r="E8" s="482"/>
      <c r="F8" s="482"/>
      <c r="G8" s="482"/>
      <c r="H8" s="482"/>
      <c r="I8" s="482"/>
      <c r="J8" s="482"/>
      <c r="K8" s="482"/>
      <c r="L8" s="482"/>
      <c r="M8" s="482"/>
      <c r="N8" s="366"/>
      <c r="O8" s="283">
        <f>SUM(C8:N8)</f>
        <v>0</v>
      </c>
    </row>
    <row r="9" spans="2:15" ht="16.5" x14ac:dyDescent="0.25">
      <c r="B9" s="365" t="s">
        <v>36</v>
      </c>
      <c r="C9" s="363" t="str">
        <f>IF(TESORERÍA!B7:M7=2,'FACTURA AGUA'!$D$21*2,"")</f>
        <v/>
      </c>
      <c r="D9" s="363">
        <f>Resultados!C8+Resultados!D8</f>
        <v>206.8</v>
      </c>
      <c r="E9" s="363" t="str">
        <f>IF(TESORERÍA!D7:O7=2,'FACTURA AGUA'!$D$21*2,"")</f>
        <v/>
      </c>
      <c r="F9" s="363">
        <f>IF(TESORERÍA!E7:P7=2,'FACTURA AGUA'!$D$21*2,"")</f>
        <v>206.8</v>
      </c>
      <c r="G9" s="363" t="str">
        <f>IF(TESORERÍA!F7:Q7=2,'FACTURA AGUA'!$D$21*2,"")</f>
        <v/>
      </c>
      <c r="H9" s="363">
        <f>IF(TESORERÍA!G7:R7=2,'FACTURA AGUA'!$D$21*2,"")</f>
        <v>206.8</v>
      </c>
      <c r="I9" s="363" t="str">
        <f>IF(TESORERÍA!H7:S7=2,'FACTURA AGUA'!$D$21*2,"")</f>
        <v/>
      </c>
      <c r="J9" s="363">
        <f>IF(TESORERÍA!I7:T7=2,'FACTURA AGUA'!$D$21*2,"")</f>
        <v>206.8</v>
      </c>
      <c r="K9" s="363" t="str">
        <f>IF(TESORERÍA!J7:U7=2,'FACTURA AGUA'!$D$21*2,"")</f>
        <v/>
      </c>
      <c r="L9" s="363">
        <f>IF(TESORERÍA!K7:V7=2,'FACTURA AGUA'!$D$21*2,"")</f>
        <v>206.8</v>
      </c>
      <c r="M9" s="363" t="str">
        <f>IF(TESORERÍA!L7:W7=2,'FACTURA AGUA'!$D$21*2,"")</f>
        <v/>
      </c>
      <c r="N9" s="363">
        <f>IF(TESORERÍA!M7:X7=2,'FACTURA AGUA'!$D$21*2,"")</f>
        <v>206.8</v>
      </c>
      <c r="O9" s="283">
        <f>SUM(C9:N9)</f>
        <v>1240.8</v>
      </c>
    </row>
    <row r="10" spans="2:15" ht="16.5" x14ac:dyDescent="0.25">
      <c r="B10" s="365" t="s">
        <v>29</v>
      </c>
      <c r="C10" s="363">
        <f>Resultados!C9</f>
        <v>403.81000000000006</v>
      </c>
      <c r="D10" s="363">
        <f>Resultados!D9</f>
        <v>403.81000000000006</v>
      </c>
      <c r="E10" s="363">
        <f>Resultados!E9</f>
        <v>403.81000000000006</v>
      </c>
      <c r="F10" s="363">
        <f>Resultados!F9</f>
        <v>403.81000000000006</v>
      </c>
      <c r="G10" s="363">
        <f>Resultados!G9</f>
        <v>403.81000000000006</v>
      </c>
      <c r="H10" s="363">
        <f>Resultados!H9</f>
        <v>403.81000000000006</v>
      </c>
      <c r="I10" s="363">
        <f>Resultados!I9</f>
        <v>403.81000000000006</v>
      </c>
      <c r="J10" s="363">
        <f>Resultados!J9</f>
        <v>403.81000000000006</v>
      </c>
      <c r="K10" s="363">
        <f>Resultados!K9</f>
        <v>403.81000000000006</v>
      </c>
      <c r="L10" s="363">
        <f>Resultados!L9</f>
        <v>403.81000000000006</v>
      </c>
      <c r="M10" s="363">
        <f>Resultados!M9</f>
        <v>403.81000000000006</v>
      </c>
      <c r="N10" s="363">
        <f>Resultados!N9</f>
        <v>403.81000000000006</v>
      </c>
      <c r="O10" s="363">
        <f>Resultados!O9</f>
        <v>4845.72</v>
      </c>
    </row>
    <row r="11" spans="2:15" ht="16.5" x14ac:dyDescent="0.25">
      <c r="B11" s="365" t="s">
        <v>30</v>
      </c>
      <c r="C11" s="363">
        <f>Resultados!C10</f>
        <v>120.25</v>
      </c>
      <c r="D11" s="363">
        <f>Resultados!D10</f>
        <v>120.25</v>
      </c>
      <c r="E11" s="363">
        <f>Resultados!E10</f>
        <v>120.25</v>
      </c>
      <c r="F11" s="363">
        <f>Resultados!F10</f>
        <v>120.25</v>
      </c>
      <c r="G11" s="363">
        <f>Resultados!G10</f>
        <v>120.25</v>
      </c>
      <c r="H11" s="363">
        <f>Resultados!H10</f>
        <v>120.25</v>
      </c>
      <c r="I11" s="363">
        <f>Resultados!I10</f>
        <v>120.25</v>
      </c>
      <c r="J11" s="363">
        <f>Resultados!J10</f>
        <v>120.25</v>
      </c>
      <c r="K11" s="363">
        <f>Resultados!K10</f>
        <v>120.25</v>
      </c>
      <c r="L11" s="363">
        <f>Resultados!L10</f>
        <v>120.25</v>
      </c>
      <c r="M11" s="363">
        <f>Resultados!M10</f>
        <v>120.25</v>
      </c>
      <c r="N11" s="363">
        <f>Resultados!N10</f>
        <v>120.25</v>
      </c>
      <c r="O11" s="363">
        <f>Resultados!O10</f>
        <v>1443</v>
      </c>
    </row>
    <row r="12" spans="2:15" x14ac:dyDescent="0.25">
      <c r="B12" s="482"/>
      <c r="C12" s="482"/>
      <c r="D12" s="482"/>
      <c r="E12" s="482"/>
      <c r="F12" s="482"/>
      <c r="G12" s="482"/>
      <c r="H12" s="482"/>
      <c r="I12" s="482"/>
      <c r="J12" s="482"/>
      <c r="K12" s="482"/>
      <c r="L12" s="482"/>
      <c r="M12" s="482"/>
      <c r="N12" s="366"/>
      <c r="O12" s="283">
        <f t="shared" ref="O12:O28" si="0">SUM(C12:N12)</f>
        <v>0</v>
      </c>
    </row>
    <row r="13" spans="2:15" ht="16.5" x14ac:dyDescent="0.25">
      <c r="B13" s="365" t="s">
        <v>32</v>
      </c>
      <c r="C13" s="363">
        <f>Resultados!C12</f>
        <v>4500</v>
      </c>
      <c r="D13" s="363">
        <f>Resultados!D12</f>
        <v>4500</v>
      </c>
      <c r="E13" s="363">
        <f>Resultados!E12</f>
        <v>4500</v>
      </c>
      <c r="F13" s="363">
        <f>Resultados!F12</f>
        <v>4500</v>
      </c>
      <c r="G13" s="363">
        <f>Resultados!G12</f>
        <v>4500</v>
      </c>
      <c r="H13" s="363">
        <f>Resultados!H12</f>
        <v>4500</v>
      </c>
      <c r="I13" s="363">
        <f>Resultados!I12</f>
        <v>4500</v>
      </c>
      <c r="J13" s="363">
        <f>Resultados!J12</f>
        <v>4500</v>
      </c>
      <c r="K13" s="363">
        <f>Resultados!K12</f>
        <v>4500</v>
      </c>
      <c r="L13" s="363">
        <f>Resultados!L12</f>
        <v>4500</v>
      </c>
      <c r="M13" s="363">
        <f>Resultados!M12</f>
        <v>4500</v>
      </c>
      <c r="N13" s="363">
        <f>Resultados!N12</f>
        <v>4500</v>
      </c>
      <c r="O13" s="283">
        <f t="shared" si="0"/>
        <v>54000</v>
      </c>
    </row>
    <row r="14" spans="2:15" x14ac:dyDescent="0.25">
      <c r="B14" s="482"/>
      <c r="C14" s="482"/>
      <c r="D14" s="482"/>
      <c r="E14" s="482"/>
      <c r="F14" s="482"/>
      <c r="G14" s="482"/>
      <c r="H14" s="482"/>
      <c r="I14" s="482"/>
      <c r="J14" s="482"/>
      <c r="K14" s="482"/>
      <c r="L14" s="482"/>
      <c r="M14" s="482"/>
      <c r="N14" s="366"/>
      <c r="O14" s="283">
        <f t="shared" si="0"/>
        <v>0</v>
      </c>
    </row>
    <row r="15" spans="2:15" ht="16.5" x14ac:dyDescent="0.25">
      <c r="B15" s="365" t="s">
        <v>34</v>
      </c>
      <c r="C15" s="363">
        <f>'Cálculos Nómina'!$F$10</f>
        <v>7102.2224999999999</v>
      </c>
      <c r="D15" s="363">
        <f>'Cálculos Nómina'!$F$10</f>
        <v>7102.2224999999999</v>
      </c>
      <c r="E15" s="363">
        <f>'Cálculos Nómina'!$F$10</f>
        <v>7102.2224999999999</v>
      </c>
      <c r="F15" s="363">
        <f>'Cálculos Nómina'!$F$10</f>
        <v>7102.2224999999999</v>
      </c>
      <c r="G15" s="363">
        <f>'Cálculos Nómina'!$F$10</f>
        <v>7102.2224999999999</v>
      </c>
      <c r="H15" s="363">
        <f>'Cálculos Nómina'!$F$10</f>
        <v>7102.2224999999999</v>
      </c>
      <c r="I15" s="363">
        <f>'Cálculos Nómina'!$F$10</f>
        <v>7102.2224999999999</v>
      </c>
      <c r="J15" s="363">
        <f>'Cálculos Nómina'!$F$10</f>
        <v>7102.2224999999999</v>
      </c>
      <c r="K15" s="363">
        <f>'Cálculos Nómina'!$F$10</f>
        <v>7102.2224999999999</v>
      </c>
      <c r="L15" s="363">
        <f>'Cálculos Nómina'!$F$10</f>
        <v>7102.2224999999999</v>
      </c>
      <c r="M15" s="363">
        <f>'Cálculos Nómina'!$F$10</f>
        <v>7102.2224999999999</v>
      </c>
      <c r="N15" s="363">
        <f>'Cálculos Nómina'!$F$10</f>
        <v>7102.2224999999999</v>
      </c>
      <c r="O15" s="283">
        <f t="shared" si="0"/>
        <v>85226.670000000027</v>
      </c>
    </row>
    <row r="16" spans="2:15" ht="16.5" x14ac:dyDescent="0.25">
      <c r="B16" s="365" t="s">
        <v>488</v>
      </c>
      <c r="C16" s="363"/>
      <c r="D16" s="363">
        <f>'Cálculos Nómina'!$E$20</f>
        <v>1049.3395583333333</v>
      </c>
      <c r="E16" s="363">
        <f>'Cálculos Nómina'!$E$20</f>
        <v>1049.3395583333333</v>
      </c>
      <c r="F16" s="363">
        <f>'Cálculos Nómina'!$E$20</f>
        <v>1049.3395583333333</v>
      </c>
      <c r="G16" s="363">
        <f>'Cálculos Nómina'!$E$20</f>
        <v>1049.3395583333333</v>
      </c>
      <c r="H16" s="363">
        <f>'Cálculos Nómina'!$E$20</f>
        <v>1049.3395583333333</v>
      </c>
      <c r="I16" s="363">
        <f>'Cálculos Nómina'!$E$20</f>
        <v>1049.3395583333333</v>
      </c>
      <c r="J16" s="363">
        <f>'Cálculos Nómina'!$E$20</f>
        <v>1049.3395583333333</v>
      </c>
      <c r="K16" s="363">
        <f>'Cálculos Nómina'!$E$20</f>
        <v>1049.3395583333333</v>
      </c>
      <c r="L16" s="363">
        <f>'Cálculos Nómina'!$E$20</f>
        <v>1049.3395583333333</v>
      </c>
      <c r="M16" s="363">
        <f>'Cálculos Nómina'!$E$20</f>
        <v>1049.3395583333333</v>
      </c>
      <c r="N16" s="363">
        <f>'Cálculos Nómina'!$E$20</f>
        <v>1049.3395583333333</v>
      </c>
      <c r="O16" s="283">
        <f t="shared" si="0"/>
        <v>11542.735141666666</v>
      </c>
    </row>
    <row r="17" spans="2:16" x14ac:dyDescent="0.25">
      <c r="B17" s="482" t="s">
        <v>105</v>
      </c>
      <c r="C17" s="482"/>
      <c r="D17" s="482"/>
      <c r="E17" s="482"/>
      <c r="F17" s="482"/>
      <c r="G17" s="482"/>
      <c r="H17" s="482"/>
      <c r="I17" s="482"/>
      <c r="J17" s="482"/>
      <c r="K17" s="482"/>
      <c r="L17" s="482"/>
      <c r="M17" s="482"/>
      <c r="N17" s="366"/>
      <c r="O17" s="283">
        <f t="shared" si="0"/>
        <v>0</v>
      </c>
    </row>
    <row r="18" spans="2:16" ht="16.5" x14ac:dyDescent="0.25">
      <c r="B18" s="365" t="s">
        <v>37</v>
      </c>
      <c r="C18" s="363">
        <f>Resultados!C17</f>
        <v>615.29999999999995</v>
      </c>
      <c r="D18" s="363">
        <f>Resultados!D17</f>
        <v>615.29999999999995</v>
      </c>
      <c r="E18" s="363">
        <f>Resultados!E17</f>
        <v>615.29999999999995</v>
      </c>
      <c r="F18" s="363">
        <f>Resultados!F17</f>
        <v>615.29999999999995</v>
      </c>
      <c r="G18" s="363">
        <f>Resultados!G17</f>
        <v>615.29999999999995</v>
      </c>
      <c r="H18" s="363">
        <f>Resultados!H17</f>
        <v>615.29999999999995</v>
      </c>
      <c r="I18" s="363">
        <f>Resultados!I17</f>
        <v>615.29999999999995</v>
      </c>
      <c r="J18" s="363">
        <f>Resultados!J17</f>
        <v>615.29999999999995</v>
      </c>
      <c r="K18" s="363">
        <f>Resultados!K17</f>
        <v>615.29999999999995</v>
      </c>
      <c r="L18" s="363">
        <f>Resultados!L17</f>
        <v>615.29999999999995</v>
      </c>
      <c r="M18" s="363">
        <f>Resultados!M17</f>
        <v>615.29999999999995</v>
      </c>
      <c r="N18" s="363">
        <f>Resultados!N17</f>
        <v>615.29999999999995</v>
      </c>
      <c r="O18" s="283">
        <f t="shared" si="0"/>
        <v>7383.6000000000013</v>
      </c>
    </row>
    <row r="19" spans="2:16" x14ac:dyDescent="0.25">
      <c r="B19" s="482"/>
      <c r="C19" s="482"/>
      <c r="D19" s="482"/>
      <c r="E19" s="482"/>
      <c r="F19" s="482"/>
      <c r="G19" s="482"/>
      <c r="H19" s="482"/>
      <c r="I19" s="482"/>
      <c r="J19" s="482"/>
      <c r="K19" s="482"/>
      <c r="L19" s="482"/>
      <c r="M19" s="482"/>
      <c r="N19" s="286"/>
      <c r="O19" s="283">
        <f t="shared" si="0"/>
        <v>0</v>
      </c>
    </row>
    <row r="20" spans="2:16" ht="16.5" x14ac:dyDescent="0.25">
      <c r="B20" s="365" t="s">
        <v>193</v>
      </c>
      <c r="C20" s="363">
        <f>'INVERSIÓN Y AMORT.'!$C$5</f>
        <v>561.28</v>
      </c>
      <c r="D20" s="363"/>
      <c r="E20" s="363"/>
      <c r="F20" s="363"/>
      <c r="G20" s="363"/>
      <c r="H20" s="363"/>
      <c r="I20" s="363"/>
      <c r="J20" s="363"/>
      <c r="K20" s="363"/>
      <c r="L20" s="363"/>
      <c r="M20" s="363"/>
      <c r="N20" s="363"/>
      <c r="O20" s="283">
        <f t="shared" si="0"/>
        <v>561.28</v>
      </c>
    </row>
    <row r="21" spans="2:16" ht="16.5" x14ac:dyDescent="0.25">
      <c r="B21" s="365" t="s">
        <v>195</v>
      </c>
      <c r="C21" s="363">
        <f>'INVERSIÓN Y AMORT.'!$C$7</f>
        <v>1095</v>
      </c>
      <c r="D21" s="363"/>
      <c r="E21" s="363"/>
      <c r="F21" s="363"/>
      <c r="G21" s="363"/>
      <c r="H21" s="363"/>
      <c r="I21" s="363"/>
      <c r="J21" s="363"/>
      <c r="K21" s="363"/>
      <c r="L21" s="363"/>
      <c r="M21" s="363"/>
      <c r="N21" s="363"/>
      <c r="O21" s="283">
        <f t="shared" si="0"/>
        <v>1095</v>
      </c>
    </row>
    <row r="22" spans="2:16" ht="16.5" x14ac:dyDescent="0.25">
      <c r="B22" s="365" t="s">
        <v>196</v>
      </c>
      <c r="C22" s="363">
        <f>'INVERSIÓN Y AMORT.'!$C$8</f>
        <v>154.94999999999999</v>
      </c>
      <c r="D22" s="363"/>
      <c r="E22" s="363"/>
      <c r="F22" s="363"/>
      <c r="G22" s="363"/>
      <c r="H22" s="363"/>
      <c r="I22" s="363"/>
      <c r="J22" s="363"/>
      <c r="K22" s="363"/>
      <c r="L22" s="363"/>
      <c r="M22" s="363"/>
      <c r="N22" s="363"/>
      <c r="O22" s="283">
        <f t="shared" si="0"/>
        <v>154.94999999999999</v>
      </c>
    </row>
    <row r="23" spans="2:16" ht="16.5" x14ac:dyDescent="0.25">
      <c r="B23" s="365" t="s">
        <v>197</v>
      </c>
      <c r="C23" s="363">
        <f>'INVERSIÓN Y AMORT.'!$C$9</f>
        <v>1332.97</v>
      </c>
      <c r="D23" s="363"/>
      <c r="E23" s="363"/>
      <c r="F23" s="363"/>
      <c r="G23" s="363"/>
      <c r="H23" s="363"/>
      <c r="I23" s="363"/>
      <c r="J23" s="363"/>
      <c r="K23" s="363"/>
      <c r="L23" s="363"/>
      <c r="M23" s="363"/>
      <c r="N23" s="363"/>
      <c r="O23" s="283">
        <f t="shared" si="0"/>
        <v>1332.97</v>
      </c>
    </row>
    <row r="24" spans="2:16" ht="16.5" x14ac:dyDescent="0.25">
      <c r="B24" s="365" t="s">
        <v>199</v>
      </c>
      <c r="C24" s="363">
        <f>'INVERSIÓN Y AMORT.'!$C$6</f>
        <v>2282.6999999999998</v>
      </c>
      <c r="D24" s="363"/>
      <c r="E24" s="363"/>
      <c r="F24" s="363"/>
      <c r="G24" s="363"/>
      <c r="H24" s="363"/>
      <c r="I24" s="363"/>
      <c r="J24" s="363"/>
      <c r="K24" s="363"/>
      <c r="L24" s="363"/>
      <c r="M24" s="363"/>
      <c r="N24" s="363"/>
      <c r="O24" s="283">
        <f t="shared" si="0"/>
        <v>2282.6999999999998</v>
      </c>
    </row>
    <row r="25" spans="2:16" x14ac:dyDescent="0.25">
      <c r="B25" s="482"/>
      <c r="C25" s="482"/>
      <c r="D25" s="482"/>
      <c r="E25" s="482"/>
      <c r="F25" s="482"/>
      <c r="G25" s="482"/>
      <c r="H25" s="482"/>
      <c r="I25" s="482"/>
      <c r="J25" s="482"/>
      <c r="K25" s="482"/>
      <c r="L25" s="482"/>
      <c r="M25" s="482"/>
      <c r="N25" s="363"/>
      <c r="O25" s="283">
        <f t="shared" si="0"/>
        <v>0</v>
      </c>
    </row>
    <row r="26" spans="2:16" ht="16.5" x14ac:dyDescent="0.25">
      <c r="B26" s="365" t="s">
        <v>221</v>
      </c>
      <c r="C26" s="363">
        <f>Resultados!C27</f>
        <v>105.8</v>
      </c>
      <c r="D26" s="363">
        <f>Resultados!D27</f>
        <v>0</v>
      </c>
      <c r="E26" s="363">
        <f>Resultados!E27</f>
        <v>0</v>
      </c>
      <c r="F26" s="363">
        <f>Resultados!F27</f>
        <v>0</v>
      </c>
      <c r="G26" s="363">
        <f>Resultados!G27</f>
        <v>0</v>
      </c>
      <c r="H26" s="363">
        <f>Resultados!H27</f>
        <v>0</v>
      </c>
      <c r="I26" s="363">
        <f>Resultados!I27</f>
        <v>0</v>
      </c>
      <c r="J26" s="363">
        <f>Resultados!J27</f>
        <v>0</v>
      </c>
      <c r="K26" s="363">
        <f>Resultados!K27</f>
        <v>0</v>
      </c>
      <c r="L26" s="363">
        <f>Resultados!L27</f>
        <v>0</v>
      </c>
      <c r="M26" s="363">
        <f>Resultados!M27</f>
        <v>0</v>
      </c>
      <c r="N26" s="363">
        <f>Resultados!N27</f>
        <v>0</v>
      </c>
      <c r="O26" s="283">
        <f t="shared" si="0"/>
        <v>105.8</v>
      </c>
    </row>
    <row r="27" spans="2:16" ht="16.5" x14ac:dyDescent="0.25">
      <c r="B27" s="365" t="s">
        <v>222</v>
      </c>
      <c r="C27" s="363">
        <f>Resultados!C28</f>
        <v>350</v>
      </c>
      <c r="D27" s="363">
        <f>Resultados!D28</f>
        <v>0</v>
      </c>
      <c r="E27" s="363">
        <f>Resultados!E28</f>
        <v>0</v>
      </c>
      <c r="F27" s="363">
        <f>Resultados!F28</f>
        <v>0</v>
      </c>
      <c r="G27" s="363">
        <f>Resultados!G28</f>
        <v>0</v>
      </c>
      <c r="H27" s="363">
        <f>Resultados!H28</f>
        <v>0</v>
      </c>
      <c r="I27" s="363">
        <f>Resultados!I28</f>
        <v>0</v>
      </c>
      <c r="J27" s="363">
        <f>Resultados!J28</f>
        <v>0</v>
      </c>
      <c r="K27" s="363">
        <f>Resultados!K28</f>
        <v>0</v>
      </c>
      <c r="L27" s="363">
        <f>Resultados!L28</f>
        <v>0</v>
      </c>
      <c r="M27" s="363">
        <f>Resultados!M28</f>
        <v>0</v>
      </c>
      <c r="N27" s="363">
        <f>Resultados!N28</f>
        <v>0</v>
      </c>
      <c r="O27" s="283">
        <f t="shared" si="0"/>
        <v>350</v>
      </c>
    </row>
    <row r="28" spans="2:16" ht="16.5" x14ac:dyDescent="0.25">
      <c r="B28" s="365" t="s">
        <v>412</v>
      </c>
      <c r="C28" s="363"/>
      <c r="D28" s="363"/>
      <c r="E28" s="363"/>
      <c r="F28" s="363">
        <f>'I.V.A'!$C$26</f>
        <v>6095.568365000001</v>
      </c>
      <c r="G28" s="363"/>
      <c r="H28" s="363"/>
      <c r="I28" s="363">
        <f>'I.V.A'!$E$26</f>
        <v>7597.7024649999994</v>
      </c>
      <c r="J28" s="363"/>
      <c r="K28" s="363"/>
      <c r="L28" s="363">
        <f>'I.V.A'!$G$26</f>
        <v>8264.7234650000009</v>
      </c>
      <c r="M28" s="363"/>
      <c r="N28" s="363"/>
      <c r="O28" s="283">
        <f t="shared" si="0"/>
        <v>21957.994295000004</v>
      </c>
    </row>
    <row r="29" spans="2:16" ht="16.5" x14ac:dyDescent="0.25">
      <c r="B29" s="365" t="s">
        <v>345</v>
      </c>
      <c r="C29" s="471">
        <f>-0.19*$G$13</f>
        <v>-855</v>
      </c>
      <c r="D29" s="471">
        <f t="shared" ref="D29:O29" si="1">-0.19*$G$13</f>
        <v>-855</v>
      </c>
      <c r="E29" s="471">
        <f t="shared" si="1"/>
        <v>-855</v>
      </c>
      <c r="F29" s="471">
        <f t="shared" si="1"/>
        <v>-855</v>
      </c>
      <c r="G29" s="471">
        <f t="shared" si="1"/>
        <v>-855</v>
      </c>
      <c r="H29" s="471">
        <f t="shared" si="1"/>
        <v>-855</v>
      </c>
      <c r="I29" s="471">
        <f t="shared" si="1"/>
        <v>-855</v>
      </c>
      <c r="J29" s="471">
        <f t="shared" si="1"/>
        <v>-855</v>
      </c>
      <c r="K29" s="471">
        <f t="shared" si="1"/>
        <v>-855</v>
      </c>
      <c r="L29" s="471">
        <f t="shared" si="1"/>
        <v>-855</v>
      </c>
      <c r="M29" s="471">
        <f t="shared" si="1"/>
        <v>-855</v>
      </c>
      <c r="N29" s="471">
        <f t="shared" si="1"/>
        <v>-855</v>
      </c>
      <c r="O29" s="471">
        <f t="shared" si="1"/>
        <v>-855</v>
      </c>
    </row>
    <row r="30" spans="2:16" ht="16.5" x14ac:dyDescent="0.25">
      <c r="B30" s="365" t="s">
        <v>482</v>
      </c>
      <c r="C30" s="363"/>
      <c r="D30" s="363"/>
      <c r="E30" s="363"/>
      <c r="F30" s="363">
        <f>3*(0.19*C13)</f>
        <v>2565</v>
      </c>
      <c r="G30" s="363"/>
      <c r="H30" s="363"/>
      <c r="I30" s="363">
        <f>3*($C$13*0.19)</f>
        <v>2565</v>
      </c>
      <c r="J30" s="363"/>
      <c r="K30" s="363"/>
      <c r="L30" s="363">
        <f>3*($E$13*0.19)</f>
        <v>2565</v>
      </c>
      <c r="M30" s="363"/>
      <c r="N30" s="363"/>
      <c r="O30" s="283">
        <f>SUM(C30:M30)</f>
        <v>7695</v>
      </c>
    </row>
    <row r="31" spans="2:16" ht="16.5" x14ac:dyDescent="0.25">
      <c r="B31" s="461" t="s">
        <v>483</v>
      </c>
      <c r="C31" s="363"/>
      <c r="D31" s="363"/>
      <c r="E31" s="363"/>
      <c r="F31" s="363">
        <f>'Cálculos Nómina'!$E$10*3</f>
        <v>1200</v>
      </c>
      <c r="G31" s="363"/>
      <c r="H31" s="363"/>
      <c r="I31" s="363">
        <f>'Cálculos Nómina'!$E$10*3</f>
        <v>1200</v>
      </c>
      <c r="J31" s="363"/>
      <c r="K31" s="363"/>
      <c r="L31" s="363">
        <f>'Cálculos Nómina'!$E$10*3</f>
        <v>1200</v>
      </c>
      <c r="M31" s="363"/>
      <c r="N31" s="363"/>
      <c r="O31" s="283"/>
    </row>
    <row r="32" spans="2:16" ht="19.5" thickBot="1" x14ac:dyDescent="0.35">
      <c r="B32" s="376" t="s">
        <v>369</v>
      </c>
      <c r="C32" s="363">
        <f t="shared" ref="C32:O32" si="2">SUM(C9:C31)</f>
        <v>17769.282500000001</v>
      </c>
      <c r="D32" s="363">
        <f t="shared" si="2"/>
        <v>13142.722058333333</v>
      </c>
      <c r="E32" s="363">
        <f t="shared" si="2"/>
        <v>12935.922058333334</v>
      </c>
      <c r="F32" s="363">
        <f t="shared" si="2"/>
        <v>23003.290423333332</v>
      </c>
      <c r="G32" s="363">
        <f t="shared" si="2"/>
        <v>12935.922058333334</v>
      </c>
      <c r="H32" s="363">
        <f t="shared" si="2"/>
        <v>13142.722058333333</v>
      </c>
      <c r="I32" s="363">
        <f t="shared" si="2"/>
        <v>24298.624523333332</v>
      </c>
      <c r="J32" s="363">
        <f t="shared" si="2"/>
        <v>13142.722058333333</v>
      </c>
      <c r="K32" s="363">
        <f t="shared" si="2"/>
        <v>12935.922058333334</v>
      </c>
      <c r="L32" s="363">
        <f t="shared" si="2"/>
        <v>25172.445523333336</v>
      </c>
      <c r="M32" s="363">
        <f t="shared" si="2"/>
        <v>12935.922058333334</v>
      </c>
      <c r="N32" s="363">
        <f t="shared" si="2"/>
        <v>13142.722058333333</v>
      </c>
      <c r="O32" s="363">
        <f t="shared" si="2"/>
        <v>200363.21943666672</v>
      </c>
      <c r="P32" s="377">
        <f>SUM(C32:N32)</f>
        <v>194558.21943666664</v>
      </c>
    </row>
    <row r="33" spans="2:16" ht="20.25" thickTop="1" thickBot="1" x14ac:dyDescent="0.35">
      <c r="B33" s="376" t="s">
        <v>486</v>
      </c>
      <c r="C33" s="363">
        <f t="shared" ref="C33:O33" si="3">SUM(C10:C13)+SUM(C20:C25)</f>
        <v>10450.959999999999</v>
      </c>
      <c r="D33" s="363">
        <f t="shared" si="3"/>
        <v>5024.0600000000004</v>
      </c>
      <c r="E33" s="363">
        <f t="shared" si="3"/>
        <v>5024.0600000000004</v>
      </c>
      <c r="F33" s="363">
        <f t="shared" si="3"/>
        <v>5024.0600000000004</v>
      </c>
      <c r="G33" s="363">
        <f t="shared" si="3"/>
        <v>5024.0600000000004</v>
      </c>
      <c r="H33" s="363">
        <f t="shared" si="3"/>
        <v>5024.0600000000004</v>
      </c>
      <c r="I33" s="363">
        <f t="shared" si="3"/>
        <v>5024.0600000000004</v>
      </c>
      <c r="J33" s="363">
        <f t="shared" si="3"/>
        <v>5024.0600000000004</v>
      </c>
      <c r="K33" s="363">
        <f t="shared" si="3"/>
        <v>5024.0600000000004</v>
      </c>
      <c r="L33" s="363">
        <f t="shared" si="3"/>
        <v>5024.0600000000004</v>
      </c>
      <c r="M33" s="363">
        <f t="shared" si="3"/>
        <v>5024.0600000000004</v>
      </c>
      <c r="N33" s="363">
        <f t="shared" si="3"/>
        <v>5024.0600000000004</v>
      </c>
      <c r="O33" s="363">
        <f t="shared" si="3"/>
        <v>65715.62</v>
      </c>
      <c r="P33" s="377"/>
    </row>
    <row r="34" spans="2:16" ht="20.25" thickTop="1" thickBot="1" x14ac:dyDescent="0.35">
      <c r="B34" s="376" t="s">
        <v>487</v>
      </c>
      <c r="C34" s="363" t="str">
        <f>IF(C9&gt;0,C9,"")</f>
        <v/>
      </c>
      <c r="D34" s="363">
        <f t="shared" ref="D34:N34" si="4">IF(D9&gt;0,D9,"")</f>
        <v>206.8</v>
      </c>
      <c r="E34" s="363" t="str">
        <f t="shared" si="4"/>
        <v/>
      </c>
      <c r="F34" s="363">
        <f t="shared" si="4"/>
        <v>206.8</v>
      </c>
      <c r="G34" s="363" t="str">
        <f t="shared" si="4"/>
        <v/>
      </c>
      <c r="H34" s="363">
        <f t="shared" si="4"/>
        <v>206.8</v>
      </c>
      <c r="I34" s="363" t="str">
        <f t="shared" si="4"/>
        <v/>
      </c>
      <c r="J34" s="363">
        <f t="shared" si="4"/>
        <v>206.8</v>
      </c>
      <c r="K34" s="363" t="str">
        <f t="shared" si="4"/>
        <v/>
      </c>
      <c r="L34" s="363">
        <f t="shared" si="4"/>
        <v>206.8</v>
      </c>
      <c r="M34" s="363" t="str">
        <f t="shared" si="4"/>
        <v/>
      </c>
      <c r="N34" s="363">
        <f t="shared" si="4"/>
        <v>206.8</v>
      </c>
      <c r="O34" s="363">
        <f t="shared" ref="O34" si="5">O9</f>
        <v>1240.8</v>
      </c>
      <c r="P34" s="377"/>
    </row>
    <row r="35" spans="2:16" ht="17.25" thickTop="1" thickBot="1" x14ac:dyDescent="0.3">
      <c r="B35" s="376" t="s">
        <v>176</v>
      </c>
      <c r="C35" s="363">
        <f>C33*0.21</f>
        <v>2194.7015999999999</v>
      </c>
      <c r="D35" s="363">
        <f t="shared" ref="D35:N35" si="6">D33*0.21</f>
        <v>1055.0526</v>
      </c>
      <c r="E35" s="363">
        <f t="shared" si="6"/>
        <v>1055.0526</v>
      </c>
      <c r="F35" s="363">
        <f t="shared" si="6"/>
        <v>1055.0526</v>
      </c>
      <c r="G35" s="363">
        <f t="shared" si="6"/>
        <v>1055.0526</v>
      </c>
      <c r="H35" s="363">
        <f t="shared" si="6"/>
        <v>1055.0526</v>
      </c>
      <c r="I35" s="363">
        <f t="shared" si="6"/>
        <v>1055.0526</v>
      </c>
      <c r="J35" s="363">
        <f t="shared" si="6"/>
        <v>1055.0526</v>
      </c>
      <c r="K35" s="363">
        <f t="shared" si="6"/>
        <v>1055.0526</v>
      </c>
      <c r="L35" s="363">
        <f t="shared" si="6"/>
        <v>1055.0526</v>
      </c>
      <c r="M35" s="363">
        <f t="shared" si="6"/>
        <v>1055.0526</v>
      </c>
      <c r="N35" s="363">
        <f t="shared" si="6"/>
        <v>1055.0526</v>
      </c>
      <c r="O35" s="284">
        <f>SUM(C35:N35)</f>
        <v>13800.280199999997</v>
      </c>
    </row>
    <row r="36" spans="2:16" ht="17.25" thickTop="1" thickBot="1" x14ac:dyDescent="0.3">
      <c r="B36" s="376" t="s">
        <v>485</v>
      </c>
      <c r="C36" s="467"/>
      <c r="D36" s="363">
        <f>0.1*C10</f>
        <v>40.381000000000007</v>
      </c>
      <c r="E36" s="363"/>
      <c r="F36" s="363">
        <f>0.1*E10</f>
        <v>40.381000000000007</v>
      </c>
      <c r="G36" s="363"/>
      <c r="H36" s="363">
        <f>0.1*G10</f>
        <v>40.381000000000007</v>
      </c>
      <c r="I36" s="363"/>
      <c r="J36" s="363">
        <f>0.1*I10</f>
        <v>40.381000000000007</v>
      </c>
      <c r="K36" s="363"/>
      <c r="L36" s="363">
        <f>0.1*K10</f>
        <v>40.381000000000007</v>
      </c>
      <c r="M36" s="363"/>
      <c r="N36" s="363">
        <f>0.1*M10</f>
        <v>40.381000000000007</v>
      </c>
    </row>
    <row r="37" spans="2:16" ht="17.25" thickTop="1" thickBot="1" x14ac:dyDescent="0.3">
      <c r="B37" s="376" t="s">
        <v>370</v>
      </c>
      <c r="C37" s="363">
        <f>C32+C35+C36</f>
        <v>19963.984100000001</v>
      </c>
      <c r="D37" s="363">
        <f t="shared" ref="D37:N37" si="7">D32+D35+D36</f>
        <v>14238.155658333331</v>
      </c>
      <c r="E37" s="363">
        <f t="shared" si="7"/>
        <v>13990.974658333333</v>
      </c>
      <c r="F37" s="363">
        <f>F32+F35+F36</f>
        <v>24098.724023333332</v>
      </c>
      <c r="G37" s="363">
        <f t="shared" si="7"/>
        <v>13990.974658333333</v>
      </c>
      <c r="H37" s="363">
        <f t="shared" si="7"/>
        <v>14238.155658333331</v>
      </c>
      <c r="I37" s="363">
        <f t="shared" si="7"/>
        <v>25353.677123333331</v>
      </c>
      <c r="J37" s="363">
        <f t="shared" si="7"/>
        <v>14238.155658333331</v>
      </c>
      <c r="K37" s="363">
        <f t="shared" si="7"/>
        <v>13990.974658333333</v>
      </c>
      <c r="L37" s="363">
        <f t="shared" si="7"/>
        <v>26267.879123333336</v>
      </c>
      <c r="M37" s="363">
        <f t="shared" si="7"/>
        <v>13990.974658333333</v>
      </c>
      <c r="N37" s="363">
        <f t="shared" si="7"/>
        <v>14238.155658333331</v>
      </c>
      <c r="O37" s="284">
        <f>SUM(C37:N37)</f>
        <v>208600.78563666664</v>
      </c>
    </row>
    <row r="38" spans="2:16" thickTop="1" x14ac:dyDescent="0.25">
      <c r="B38" s="284"/>
    </row>
    <row r="39" spans="2:16" ht="15" x14ac:dyDescent="0.25">
      <c r="B39" s="284"/>
    </row>
    <row r="40" spans="2:16" ht="20.25" x14ac:dyDescent="0.3">
      <c r="C40" s="481" t="s">
        <v>355</v>
      </c>
      <c r="D40" s="481"/>
      <c r="E40" s="481"/>
      <c r="F40" s="481"/>
      <c r="G40" s="481"/>
      <c r="H40" s="481"/>
      <c r="I40" s="481"/>
      <c r="J40" s="481"/>
      <c r="K40" s="481"/>
      <c r="L40" s="481"/>
      <c r="M40" s="481"/>
      <c r="N40" s="481"/>
    </row>
    <row r="41" spans="2:16" x14ac:dyDescent="0.25">
      <c r="C41" s="364" t="s">
        <v>17</v>
      </c>
      <c r="D41" s="364" t="s">
        <v>18</v>
      </c>
      <c r="E41" s="364" t="s">
        <v>19</v>
      </c>
      <c r="F41" s="364" t="s">
        <v>20</v>
      </c>
      <c r="G41" s="364" t="s">
        <v>21</v>
      </c>
      <c r="H41" s="364" t="s">
        <v>22</v>
      </c>
      <c r="I41" s="364" t="s">
        <v>23</v>
      </c>
      <c r="J41" s="364" t="s">
        <v>24</v>
      </c>
      <c r="K41" s="364" t="s">
        <v>25</v>
      </c>
      <c r="L41" s="364" t="s">
        <v>26</v>
      </c>
      <c r="M41" s="364" t="s">
        <v>27</v>
      </c>
      <c r="N41" s="364" t="s">
        <v>28</v>
      </c>
    </row>
    <row r="42" spans="2:16" ht="18.75" x14ac:dyDescent="0.25">
      <c r="B42" s="368" t="s">
        <v>50</v>
      </c>
      <c r="C42" s="366"/>
      <c r="D42" s="366"/>
      <c r="E42" s="366"/>
      <c r="F42" s="366"/>
      <c r="G42" s="366"/>
      <c r="H42" s="366"/>
      <c r="I42" s="366"/>
      <c r="J42" s="366"/>
      <c r="K42" s="366"/>
      <c r="L42" s="366"/>
      <c r="M42" s="366"/>
      <c r="N42" s="366"/>
    </row>
    <row r="43" spans="2:16" ht="16.5" x14ac:dyDescent="0.25">
      <c r="B43" s="367" t="s">
        <v>356</v>
      </c>
      <c r="C43" s="363">
        <f>Resultados!C36</f>
        <v>16490.26325</v>
      </c>
      <c r="D43" s="363">
        <f>Resultados!D36</f>
        <v>15641.996999999999</v>
      </c>
      <c r="E43" s="363">
        <f>Resultados!E36</f>
        <v>17585.626250000001</v>
      </c>
      <c r="F43" s="363">
        <f>Resultados!F36</f>
        <v>17626.178500000002</v>
      </c>
      <c r="G43" s="363">
        <f>Resultados!G36</f>
        <v>18469.534250000001</v>
      </c>
      <c r="H43" s="363">
        <f>Resultados!H36</f>
        <v>15540.58375</v>
      </c>
      <c r="I43" s="363">
        <f>Resultados!I36</f>
        <v>18063.205000000002</v>
      </c>
      <c r="J43" s="363">
        <f>Resultados!J36</f>
        <v>18453.600250000003</v>
      </c>
      <c r="K43" s="363">
        <f>Resultados!K36</f>
        <v>18103.491249999999</v>
      </c>
      <c r="L43" s="363">
        <f>Resultados!L36</f>
        <v>16193.9925</v>
      </c>
      <c r="M43" s="363">
        <f>Resultados!M36</f>
        <v>17134.958250000003</v>
      </c>
      <c r="N43" s="363">
        <f>Resultados!N36</f>
        <v>17470.135750000001</v>
      </c>
      <c r="O43" s="284">
        <f>SUM(C43:N43)</f>
        <v>206773.56599999999</v>
      </c>
    </row>
    <row r="44" spans="2:16" ht="16.5" x14ac:dyDescent="0.25">
      <c r="B44" s="365" t="s">
        <v>357</v>
      </c>
      <c r="C44" s="363">
        <v>25000</v>
      </c>
      <c r="D44" s="363"/>
      <c r="E44" s="363"/>
      <c r="F44" s="363"/>
      <c r="G44" s="363"/>
      <c r="H44" s="363"/>
      <c r="I44" s="363"/>
      <c r="J44" s="363"/>
      <c r="K44" s="363"/>
      <c r="L44" s="363"/>
      <c r="M44" s="363"/>
      <c r="N44" s="363"/>
    </row>
    <row r="47" spans="2:16" ht="16.5" x14ac:dyDescent="0.25">
      <c r="B47" s="365" t="s">
        <v>365</v>
      </c>
      <c r="C47" s="363">
        <f>SUM(C43:C44)</f>
        <v>41490.263250000004</v>
      </c>
      <c r="D47" s="363">
        <f t="shared" ref="D47:N47" si="8">SUM(D43:D44)</f>
        <v>15641.996999999999</v>
      </c>
      <c r="E47" s="363">
        <f t="shared" si="8"/>
        <v>17585.626250000001</v>
      </c>
      <c r="F47" s="363">
        <f t="shared" si="8"/>
        <v>17626.178500000002</v>
      </c>
      <c r="G47" s="363">
        <f t="shared" si="8"/>
        <v>18469.534250000001</v>
      </c>
      <c r="H47" s="363">
        <f t="shared" si="8"/>
        <v>15540.58375</v>
      </c>
      <c r="I47" s="363">
        <f t="shared" si="8"/>
        <v>18063.205000000002</v>
      </c>
      <c r="J47" s="363">
        <f t="shared" si="8"/>
        <v>18453.600250000003</v>
      </c>
      <c r="K47" s="363">
        <f t="shared" si="8"/>
        <v>18103.491249999999</v>
      </c>
      <c r="L47" s="363">
        <f t="shared" si="8"/>
        <v>16193.9925</v>
      </c>
      <c r="M47" s="363">
        <f t="shared" si="8"/>
        <v>17134.958250000003</v>
      </c>
      <c r="N47" s="363">
        <f t="shared" si="8"/>
        <v>17470.135750000001</v>
      </c>
      <c r="O47" s="284">
        <f>SUM(C47:N47)</f>
        <v>231773.56599999999</v>
      </c>
    </row>
    <row r="48" spans="2:16" ht="16.5" x14ac:dyDescent="0.25">
      <c r="B48" s="365" t="s">
        <v>366</v>
      </c>
      <c r="C48" s="363">
        <f>C43*0.21</f>
        <v>3462.9552825000001</v>
      </c>
      <c r="D48" s="363">
        <f t="shared" ref="D48:N48" si="9">D43*0.21</f>
        <v>3284.8193699999997</v>
      </c>
      <c r="E48" s="363">
        <f t="shared" si="9"/>
        <v>3692.9815125</v>
      </c>
      <c r="F48" s="363">
        <f t="shared" si="9"/>
        <v>3701.4974850000003</v>
      </c>
      <c r="G48" s="363">
        <f t="shared" si="9"/>
        <v>3878.6021925</v>
      </c>
      <c r="H48" s="363">
        <f t="shared" si="9"/>
        <v>3263.5225874999996</v>
      </c>
      <c r="I48" s="363">
        <f t="shared" si="9"/>
        <v>3793.2730500000002</v>
      </c>
      <c r="J48" s="363">
        <f t="shared" si="9"/>
        <v>3875.2560525000004</v>
      </c>
      <c r="K48" s="363">
        <f t="shared" si="9"/>
        <v>3801.7331624999997</v>
      </c>
      <c r="L48" s="363">
        <f t="shared" si="9"/>
        <v>3400.738425</v>
      </c>
      <c r="M48" s="363">
        <f t="shared" si="9"/>
        <v>3598.3412325000004</v>
      </c>
      <c r="N48" s="363">
        <f t="shared" si="9"/>
        <v>3668.7285075</v>
      </c>
      <c r="O48" s="284">
        <f>SUM(C48:N48)</f>
        <v>43422.448860000004</v>
      </c>
    </row>
    <row r="49" spans="2:15" ht="16.5" x14ac:dyDescent="0.25">
      <c r="B49" s="365" t="s">
        <v>367</v>
      </c>
      <c r="C49" s="363">
        <f>SUM(C47:C48)</f>
        <v>44953.218532500003</v>
      </c>
      <c r="D49" s="363">
        <f t="shared" ref="D49:N49" si="10">SUM(D47:D48)</f>
        <v>18926.81637</v>
      </c>
      <c r="E49" s="363">
        <f t="shared" si="10"/>
        <v>21278.6077625</v>
      </c>
      <c r="F49" s="363">
        <f t="shared" si="10"/>
        <v>21327.675985000002</v>
      </c>
      <c r="G49" s="363">
        <f t="shared" si="10"/>
        <v>22348.136442499999</v>
      </c>
      <c r="H49" s="363">
        <f t="shared" si="10"/>
        <v>18804.106337500001</v>
      </c>
      <c r="I49" s="363">
        <f t="shared" si="10"/>
        <v>21856.478050000002</v>
      </c>
      <c r="J49" s="363">
        <f t="shared" si="10"/>
        <v>22328.856302500004</v>
      </c>
      <c r="K49" s="363">
        <f t="shared" si="10"/>
        <v>21905.2244125</v>
      </c>
      <c r="L49" s="363">
        <f t="shared" si="10"/>
        <v>19594.730925</v>
      </c>
      <c r="M49" s="363">
        <f t="shared" si="10"/>
        <v>20733.299482500002</v>
      </c>
      <c r="N49" s="363">
        <f t="shared" si="10"/>
        <v>21138.864257500001</v>
      </c>
      <c r="O49" s="284">
        <f>SUM(C49:N49)</f>
        <v>275196.01486000005</v>
      </c>
    </row>
    <row r="53" spans="2:15" ht="20.25" x14ac:dyDescent="0.3">
      <c r="C53" s="481" t="s">
        <v>361</v>
      </c>
      <c r="D53" s="481"/>
      <c r="E53" s="481"/>
      <c r="F53" s="481"/>
      <c r="G53" s="481"/>
      <c r="H53" s="481"/>
      <c r="I53" s="481"/>
      <c r="J53" s="481"/>
      <c r="K53" s="481"/>
      <c r="L53" s="481"/>
      <c r="M53" s="481"/>
      <c r="N53" s="481"/>
    </row>
    <row r="54" spans="2:15" ht="16.5" x14ac:dyDescent="0.25">
      <c r="B54" s="374" t="s">
        <v>354</v>
      </c>
      <c r="C54" s="363">
        <f>C37</f>
        <v>19963.984100000001</v>
      </c>
      <c r="D54" s="363">
        <f t="shared" ref="D54:N54" si="11">D37</f>
        <v>14238.155658333331</v>
      </c>
      <c r="E54" s="363">
        <f t="shared" si="11"/>
        <v>13990.974658333333</v>
      </c>
      <c r="F54" s="363">
        <f>F37</f>
        <v>24098.724023333332</v>
      </c>
      <c r="G54" s="363">
        <f t="shared" si="11"/>
        <v>13990.974658333333</v>
      </c>
      <c r="H54" s="363">
        <f t="shared" si="11"/>
        <v>14238.155658333331</v>
      </c>
      <c r="I54" s="363">
        <f t="shared" si="11"/>
        <v>25353.677123333331</v>
      </c>
      <c r="J54" s="363">
        <f t="shared" si="11"/>
        <v>14238.155658333331</v>
      </c>
      <c r="K54" s="363">
        <f t="shared" si="11"/>
        <v>13990.974658333333</v>
      </c>
      <c r="L54" s="363">
        <f t="shared" si="11"/>
        <v>26267.879123333336</v>
      </c>
      <c r="M54" s="363">
        <f t="shared" si="11"/>
        <v>13990.974658333333</v>
      </c>
      <c r="N54" s="363">
        <f t="shared" si="11"/>
        <v>14238.155658333331</v>
      </c>
    </row>
    <row r="55" spans="2:15" ht="16.5" x14ac:dyDescent="0.25">
      <c r="B55" s="375" t="s">
        <v>355</v>
      </c>
      <c r="C55" s="363">
        <f>C49</f>
        <v>44953.218532500003</v>
      </c>
      <c r="D55" s="363">
        <f>D49</f>
        <v>18926.81637</v>
      </c>
      <c r="E55" s="363">
        <f t="shared" ref="E55:N55" si="12">E49</f>
        <v>21278.6077625</v>
      </c>
      <c r="F55" s="363">
        <f t="shared" si="12"/>
        <v>21327.675985000002</v>
      </c>
      <c r="G55" s="363">
        <f t="shared" si="12"/>
        <v>22348.136442499999</v>
      </c>
      <c r="H55" s="363">
        <f t="shared" si="12"/>
        <v>18804.106337500001</v>
      </c>
      <c r="I55" s="363">
        <f t="shared" si="12"/>
        <v>21856.478050000002</v>
      </c>
      <c r="J55" s="363">
        <f t="shared" si="12"/>
        <v>22328.856302500004</v>
      </c>
      <c r="K55" s="363">
        <f t="shared" si="12"/>
        <v>21905.2244125</v>
      </c>
      <c r="L55" s="363">
        <f t="shared" si="12"/>
        <v>19594.730925</v>
      </c>
      <c r="M55" s="363">
        <f t="shared" si="12"/>
        <v>20733.299482500002</v>
      </c>
      <c r="N55" s="363">
        <f t="shared" si="12"/>
        <v>21138.864257500001</v>
      </c>
    </row>
    <row r="56" spans="2:15" ht="16.5" x14ac:dyDescent="0.25">
      <c r="B56" s="395" t="s">
        <v>368</v>
      </c>
      <c r="C56" s="363">
        <f>C55-C54</f>
        <v>24989.234432500001</v>
      </c>
      <c r="D56" s="363">
        <f t="shared" ref="D56:N56" si="13">D55-D54+C56</f>
        <v>29677.895144166672</v>
      </c>
      <c r="E56" s="363">
        <f t="shared" si="13"/>
        <v>36965.528248333343</v>
      </c>
      <c r="F56" s="363">
        <f t="shared" si="13"/>
        <v>34194.480210000009</v>
      </c>
      <c r="G56" s="363">
        <f t="shared" si="13"/>
        <v>42551.641994166675</v>
      </c>
      <c r="H56" s="363">
        <f t="shared" si="13"/>
        <v>47117.592673333347</v>
      </c>
      <c r="I56" s="363">
        <f t="shared" si="13"/>
        <v>43620.393600000018</v>
      </c>
      <c r="J56" s="363">
        <f t="shared" si="13"/>
        <v>51711.094244166692</v>
      </c>
      <c r="K56" s="363">
        <f t="shared" si="13"/>
        <v>59625.343998333359</v>
      </c>
      <c r="L56" s="363">
        <f t="shared" si="13"/>
        <v>52952.195800000023</v>
      </c>
      <c r="M56" s="363">
        <f t="shared" si="13"/>
        <v>59694.520624166689</v>
      </c>
      <c r="N56" s="363">
        <f t="shared" si="13"/>
        <v>66595.229223333357</v>
      </c>
    </row>
    <row r="66" spans="3:3" x14ac:dyDescent="0.25">
      <c r="C66" s="283"/>
    </row>
    <row r="67" spans="3:3" x14ac:dyDescent="0.25">
      <c r="C67" s="283"/>
    </row>
    <row r="68" spans="3:3" x14ac:dyDescent="0.25">
      <c r="C68" s="283"/>
    </row>
    <row r="69" spans="3:3" x14ac:dyDescent="0.25">
      <c r="C69" s="283"/>
    </row>
  </sheetData>
  <mergeCells count="9">
    <mergeCell ref="C53:N53"/>
    <mergeCell ref="C5:N5"/>
    <mergeCell ref="B19:M19"/>
    <mergeCell ref="C40:N40"/>
    <mergeCell ref="B25:M25"/>
    <mergeCell ref="B8:M8"/>
    <mergeCell ref="B12:M12"/>
    <mergeCell ref="B14:M14"/>
    <mergeCell ref="B17:M17"/>
  </mergeCells>
  <printOptions horizontalCentered="1"/>
  <pageMargins left="0.19685039370078741" right="0.11811023622047245" top="0.15748031496062992" bottom="0.15748031496062992" header="0.11811023622047245" footer="0.11811023622047245"/>
  <pageSetup paperSize="11" scale="33" orientation="landscape" r:id="rId1"/>
  <ignoredErrors>
    <ignoredError sqref="C9 N9"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H25"/>
  <sheetViews>
    <sheetView showGridLines="0" topLeftCell="B1" zoomScale="80" zoomScaleNormal="80" zoomScaleSheetLayoutView="100" workbookViewId="0">
      <selection activeCell="H14" sqref="H14"/>
    </sheetView>
  </sheetViews>
  <sheetFormatPr baseColWidth="10" defaultRowHeight="15" x14ac:dyDescent="0.25"/>
  <cols>
    <col min="1" max="1" width="3.140625" style="213" customWidth="1"/>
    <col min="2" max="2" width="48.5703125" style="213" customWidth="1"/>
    <col min="3" max="3" width="17.28515625" style="214" customWidth="1"/>
    <col min="4" max="4" width="46.85546875" style="213" customWidth="1"/>
    <col min="5" max="5" width="23" style="213" customWidth="1"/>
    <col min="6" max="6" width="16.7109375" style="213" customWidth="1"/>
    <col min="7" max="7" width="14.140625" style="213" bestFit="1" customWidth="1"/>
    <col min="8" max="8" width="16.28515625" style="213" bestFit="1" customWidth="1"/>
    <col min="9" max="16384" width="11.42578125" style="213"/>
  </cols>
  <sheetData>
    <row r="3" spans="2:8" ht="18.75" x14ac:dyDescent="0.3">
      <c r="B3" s="483" t="s">
        <v>159</v>
      </c>
      <c r="C3" s="483"/>
    </row>
    <row r="4" spans="2:8" ht="18.75" x14ac:dyDescent="0.3">
      <c r="B4" s="219" t="s">
        <v>160</v>
      </c>
      <c r="C4" s="218" t="s">
        <v>161</v>
      </c>
    </row>
    <row r="5" spans="2:8" x14ac:dyDescent="0.25">
      <c r="B5" s="216" t="s">
        <v>162</v>
      </c>
      <c r="C5" s="217">
        <f>('FACTURA AMAZON'!$C$16+'FACTURA AMAZON'!$C$18)</f>
        <v>561.28</v>
      </c>
      <c r="D5" s="570" t="s">
        <v>177</v>
      </c>
    </row>
    <row r="6" spans="2:8" x14ac:dyDescent="0.25">
      <c r="B6" s="216" t="s">
        <v>163</v>
      </c>
      <c r="C6" s="215">
        <f>'FACTURA IKEA'!$E$38</f>
        <v>2282.6999999999998</v>
      </c>
      <c r="D6" s="570" t="s">
        <v>178</v>
      </c>
    </row>
    <row r="7" spans="2:8" x14ac:dyDescent="0.25">
      <c r="B7" s="216" t="s">
        <v>164</v>
      </c>
      <c r="C7" s="217">
        <f>'FACTURA M.M'!E14+'FACTURA M.M'!E15+'FACTURA M.M'!E20+'FACTURA M.M'!E21</f>
        <v>1095</v>
      </c>
      <c r="D7" s="570" t="s">
        <v>490</v>
      </c>
    </row>
    <row r="8" spans="2:8" x14ac:dyDescent="0.25">
      <c r="B8" s="216" t="s">
        <v>165</v>
      </c>
      <c r="C8" s="217">
        <f>('FACTURA M.M'!$E$16+'FACTURA AMAZON'!$C$15)</f>
        <v>154.94999999999999</v>
      </c>
      <c r="D8" s="570" t="s">
        <v>179</v>
      </c>
    </row>
    <row r="9" spans="2:8" x14ac:dyDescent="0.25">
      <c r="B9" s="216" t="s">
        <v>166</v>
      </c>
      <c r="C9" s="217">
        <f>'FACTURA M.M'!$E$17+'FACTURA M.M'!$E$18</f>
        <v>1332.97</v>
      </c>
      <c r="D9" s="570" t="s">
        <v>463</v>
      </c>
    </row>
    <row r="10" spans="2:8" x14ac:dyDescent="0.25">
      <c r="C10" s="569">
        <f>SUM(C5:C9)</f>
        <v>5426.9</v>
      </c>
      <c r="D10" s="568"/>
      <c r="E10" s="214"/>
    </row>
    <row r="11" spans="2:8" x14ac:dyDescent="0.25">
      <c r="D11" s="214"/>
      <c r="E11" s="214"/>
    </row>
    <row r="13" spans="2:8" ht="18.75" x14ac:dyDescent="0.3">
      <c r="D13" s="219" t="s">
        <v>182</v>
      </c>
      <c r="E13" s="220" t="s">
        <v>186</v>
      </c>
      <c r="F13" s="220" t="s">
        <v>187</v>
      </c>
      <c r="G13" s="220" t="s">
        <v>184</v>
      </c>
      <c r="H13" s="220" t="s">
        <v>185</v>
      </c>
    </row>
    <row r="14" spans="2:8" x14ac:dyDescent="0.25">
      <c r="D14" s="223" t="s">
        <v>162</v>
      </c>
      <c r="E14" s="221">
        <f>$C$5</f>
        <v>561.28</v>
      </c>
      <c r="F14" s="222">
        <v>5</v>
      </c>
      <c r="G14" s="221">
        <f>$E$14/$F$14</f>
        <v>112.256</v>
      </c>
      <c r="H14" s="221">
        <f>$G$14/12</f>
        <v>9.3546666666666667</v>
      </c>
    </row>
    <row r="15" spans="2:8" ht="18.75" x14ac:dyDescent="0.3">
      <c r="E15" s="484" t="s">
        <v>188</v>
      </c>
      <c r="F15" s="485"/>
      <c r="G15" s="224">
        <f>$G$14</f>
        <v>112.256</v>
      </c>
      <c r="H15" s="224">
        <f>$H$14</f>
        <v>9.3546666666666667</v>
      </c>
    </row>
    <row r="17" spans="4:8" ht="18.75" x14ac:dyDescent="0.3">
      <c r="D17" s="219" t="s">
        <v>183</v>
      </c>
      <c r="E17" s="220" t="s">
        <v>186</v>
      </c>
      <c r="F17" s="220" t="s">
        <v>187</v>
      </c>
      <c r="G17" s="220" t="s">
        <v>184</v>
      </c>
      <c r="H17" s="220" t="s">
        <v>185</v>
      </c>
    </row>
    <row r="18" spans="4:8" x14ac:dyDescent="0.25">
      <c r="D18" s="223" t="s">
        <v>163</v>
      </c>
      <c r="E18" s="221">
        <f>$C$6</f>
        <v>2282.6999999999998</v>
      </c>
      <c r="F18" s="222">
        <v>16</v>
      </c>
      <c r="G18" s="221">
        <f>$E$18/$F$18</f>
        <v>142.66874999999999</v>
      </c>
      <c r="H18" s="221">
        <f>$G$18/12</f>
        <v>11.8890625</v>
      </c>
    </row>
    <row r="19" spans="4:8" x14ac:dyDescent="0.25">
      <c r="D19" s="223" t="s">
        <v>164</v>
      </c>
      <c r="E19" s="221">
        <f>$C$7</f>
        <v>1095</v>
      </c>
      <c r="F19" s="222">
        <v>10</v>
      </c>
      <c r="G19" s="221">
        <f>$E$19/$F$19</f>
        <v>109.5</v>
      </c>
      <c r="H19" s="221">
        <f>$G$19/12</f>
        <v>9.125</v>
      </c>
    </row>
    <row r="20" spans="4:8" x14ac:dyDescent="0.25">
      <c r="D20" s="223" t="s">
        <v>165</v>
      </c>
      <c r="E20" s="221">
        <f>$C$8</f>
        <v>154.94999999999999</v>
      </c>
      <c r="F20" s="222">
        <v>5</v>
      </c>
      <c r="G20" s="221">
        <f>$E$20/$F$20</f>
        <v>30.99</v>
      </c>
      <c r="H20" s="221">
        <f>$G$20/12</f>
        <v>2.5825</v>
      </c>
    </row>
    <row r="21" spans="4:8" x14ac:dyDescent="0.25">
      <c r="D21" s="223" t="s">
        <v>166</v>
      </c>
      <c r="E21" s="221">
        <f>$C$9</f>
        <v>1332.97</v>
      </c>
      <c r="F21" s="222">
        <v>14</v>
      </c>
      <c r="G21" s="221">
        <f>$E$21/$F$21</f>
        <v>95.212142857142865</v>
      </c>
      <c r="H21" s="221">
        <f>$G$21/12</f>
        <v>7.9343452380952391</v>
      </c>
    </row>
    <row r="22" spans="4:8" ht="18.75" x14ac:dyDescent="0.3">
      <c r="E22" s="484" t="s">
        <v>189</v>
      </c>
      <c r="F22" s="485"/>
      <c r="G22" s="224">
        <f>SUM(G18:G21)</f>
        <v>378.37089285714285</v>
      </c>
      <c r="H22" s="224">
        <f>SUM(H18:H21)</f>
        <v>31.530907738095241</v>
      </c>
    </row>
    <row r="25" spans="4:8" ht="15.75" x14ac:dyDescent="0.25">
      <c r="E25" s="486" t="s">
        <v>190</v>
      </c>
      <c r="F25" s="487"/>
      <c r="G25" s="226">
        <f>SUM($G$15+$G$22)</f>
        <v>490.62689285714282</v>
      </c>
    </row>
  </sheetData>
  <mergeCells count="4">
    <mergeCell ref="B3:C3"/>
    <mergeCell ref="E15:F15"/>
    <mergeCell ref="E22:F22"/>
    <mergeCell ref="E25:F25"/>
  </mergeCells>
  <pageMargins left="0.70866141732283472" right="0.70866141732283472" top="0.74803149606299213" bottom="0.74803149606299213" header="0.31496062992125984" footer="0.31496062992125984"/>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pageSetUpPr fitToPage="1"/>
  </sheetPr>
  <dimension ref="A1:E26"/>
  <sheetViews>
    <sheetView showGridLines="0" topLeftCell="A13" workbookViewId="0">
      <selection activeCell="F16" sqref="F16"/>
    </sheetView>
  </sheetViews>
  <sheetFormatPr baseColWidth="10" defaultColWidth="9.140625" defaultRowHeight="30" customHeight="1" x14ac:dyDescent="0.25"/>
  <cols>
    <col min="1" max="1" width="2.7109375" style="85" customWidth="1"/>
    <col min="2" max="2" width="58.85546875" style="85" customWidth="1"/>
    <col min="3" max="3" width="16.42578125" style="85" customWidth="1"/>
    <col min="4" max="4" width="21.5703125" style="85" customWidth="1"/>
    <col min="5" max="5" width="30.85546875" style="85" customWidth="1"/>
    <col min="6" max="6" width="22.140625" style="85" customWidth="1"/>
    <col min="7" max="16384" width="9.140625" style="85"/>
  </cols>
  <sheetData>
    <row r="1" spans="2:5" ht="56.85" customHeight="1" x14ac:dyDescent="0.55000000000000004">
      <c r="D1" s="522" t="s">
        <v>104</v>
      </c>
      <c r="E1" s="523"/>
    </row>
    <row r="2" spans="2:5" ht="33" customHeight="1" x14ac:dyDescent="0.35">
      <c r="B2" s="113" t="s">
        <v>62</v>
      </c>
    </row>
    <row r="3" spans="2:5" ht="15" customHeight="1" x14ac:dyDescent="0.25">
      <c r="B3" s="106" t="s">
        <v>122</v>
      </c>
      <c r="C3" s="110"/>
      <c r="D3" s="108" t="s">
        <v>102</v>
      </c>
      <c r="E3" s="106">
        <v>87</v>
      </c>
    </row>
    <row r="4" spans="2:5" ht="15" customHeight="1" x14ac:dyDescent="0.25">
      <c r="B4" s="109" t="s">
        <v>121</v>
      </c>
      <c r="C4" s="110"/>
      <c r="D4" s="108" t="s">
        <v>100</v>
      </c>
      <c r="E4" s="112">
        <v>44562</v>
      </c>
    </row>
    <row r="5" spans="2:5" ht="15" customHeight="1" x14ac:dyDescent="0.25">
      <c r="B5" s="111" t="s">
        <v>120</v>
      </c>
      <c r="C5" s="110"/>
      <c r="D5" s="108"/>
      <c r="E5" s="106"/>
    </row>
    <row r="6" spans="2:5" ht="15" customHeight="1" x14ac:dyDescent="0.25">
      <c r="B6" s="109" t="s">
        <v>119</v>
      </c>
    </row>
    <row r="7" spans="2:5" ht="27.75" customHeight="1" x14ac:dyDescent="0.25">
      <c r="B7" s="108"/>
      <c r="D7" s="524" t="s">
        <v>95</v>
      </c>
      <c r="E7" s="524"/>
    </row>
    <row r="8" spans="2:5" ht="15" x14ac:dyDescent="0.25">
      <c r="B8" s="107"/>
      <c r="E8" s="106" t="s">
        <v>447</v>
      </c>
    </row>
    <row r="9" spans="2:5" ht="15" x14ac:dyDescent="0.25">
      <c r="B9" s="107"/>
      <c r="E9" s="106" t="s">
        <v>448</v>
      </c>
    </row>
    <row r="10" spans="2:5" ht="15" x14ac:dyDescent="0.25">
      <c r="B10" s="107"/>
      <c r="E10" s="106" t="s">
        <v>118</v>
      </c>
    </row>
    <row r="11" spans="2:5" ht="15" x14ac:dyDescent="0.25">
      <c r="B11" s="107"/>
      <c r="E11" s="106" t="s">
        <v>117</v>
      </c>
    </row>
    <row r="12" spans="2:5" ht="30" customHeight="1" x14ac:dyDescent="0.25">
      <c r="B12" s="105"/>
      <c r="E12" s="104" t="s">
        <v>116</v>
      </c>
    </row>
    <row r="13" spans="2:5" ht="45" customHeight="1" x14ac:dyDescent="0.25">
      <c r="B13" s="85" t="s">
        <v>115</v>
      </c>
      <c r="C13" s="103" t="s">
        <v>114</v>
      </c>
      <c r="D13" s="103" t="s">
        <v>85</v>
      </c>
      <c r="E13" s="102" t="s">
        <v>14</v>
      </c>
    </row>
    <row r="14" spans="2:5" ht="30" customHeight="1" x14ac:dyDescent="0.25">
      <c r="B14" s="85" t="s">
        <v>113</v>
      </c>
      <c r="C14" s="101">
        <v>3</v>
      </c>
      <c r="D14" s="100">
        <v>105</v>
      </c>
      <c r="E14" s="100">
        <f>IFERROR(DetallesDeFactura[[#This Row],[Unidades]]*DetallesDeFactura[[#This Row],[P.Unitario]], "")</f>
        <v>315</v>
      </c>
    </row>
    <row r="15" spans="2:5" ht="30" customHeight="1" x14ac:dyDescent="0.25">
      <c r="B15" s="85" t="s">
        <v>112</v>
      </c>
      <c r="C15" s="101">
        <v>1</v>
      </c>
      <c r="D15" s="100">
        <v>350</v>
      </c>
      <c r="E15" s="100">
        <f>IFERROR(DetallesDeFactura[[#This Row],[Unidades]]*DetallesDeFactura[[#This Row],[P.Unitario]], "")</f>
        <v>350</v>
      </c>
    </row>
    <row r="16" spans="2:5" ht="30" customHeight="1" x14ac:dyDescent="0.25">
      <c r="B16" s="85" t="s">
        <v>111</v>
      </c>
      <c r="C16" s="101">
        <v>2</v>
      </c>
      <c r="D16" s="100">
        <v>70</v>
      </c>
      <c r="E16" s="100">
        <f>IFERROR(DetallesDeFactura[[#This Row],[Unidades]]*DetallesDeFactura[[#This Row],[P.Unitario]], "")</f>
        <v>140</v>
      </c>
    </row>
    <row r="17" spans="1:5" ht="30" customHeight="1" x14ac:dyDescent="0.25">
      <c r="B17" s="85" t="s">
        <v>110</v>
      </c>
      <c r="C17" s="101">
        <v>3</v>
      </c>
      <c r="D17" s="100">
        <v>210.99</v>
      </c>
      <c r="E17" s="100">
        <f>IFERROR(DetallesDeFactura[[#This Row],[Unidades]]*DetallesDeFactura[[#This Row],[P.Unitario]], "")</f>
        <v>632.97</v>
      </c>
    </row>
    <row r="18" spans="1:5" ht="30" customHeight="1" x14ac:dyDescent="0.25">
      <c r="B18" s="85" t="s">
        <v>109</v>
      </c>
      <c r="C18" s="101">
        <v>5</v>
      </c>
      <c r="D18" s="100">
        <v>140</v>
      </c>
      <c r="E18" s="100">
        <f>IFERROR(DetallesDeFactura[[#This Row],[Unidades]]*DetallesDeFactura[[#This Row],[P.Unitario]], "")</f>
        <v>700</v>
      </c>
    </row>
    <row r="19" spans="1:5" ht="30" customHeight="1" x14ac:dyDescent="0.25">
      <c r="B19" s="85" t="s">
        <v>108</v>
      </c>
      <c r="C19" s="101">
        <v>1</v>
      </c>
      <c r="D19" s="100">
        <v>55</v>
      </c>
      <c r="E19" s="100">
        <f>IFERROR(DetallesDeFactura[[#This Row],[Unidades]]*DetallesDeFactura[[#This Row],[P.Unitario]], "")</f>
        <v>55</v>
      </c>
    </row>
    <row r="20" spans="1:5" ht="30" customHeight="1" x14ac:dyDescent="0.25">
      <c r="B20" s="85" t="s">
        <v>107</v>
      </c>
      <c r="C20" s="101">
        <v>1</v>
      </c>
      <c r="D20" s="100">
        <v>250</v>
      </c>
      <c r="E20" s="100">
        <f>IFERROR(DetallesDeFactura[[#This Row],[Unidades]]*DetallesDeFactura[[#This Row],[P.Unitario]], "")</f>
        <v>250</v>
      </c>
    </row>
    <row r="21" spans="1:5" ht="30" customHeight="1" x14ac:dyDescent="0.25">
      <c r="B21" s="85" t="s">
        <v>446</v>
      </c>
      <c r="C21" s="101">
        <v>1</v>
      </c>
      <c r="D21" s="100">
        <v>180</v>
      </c>
      <c r="E21" s="100">
        <f>IFERROR(DetallesDeFactura[[#This Row],[Unidades]]*DetallesDeFactura[[#This Row],[P.Unitario]], "")</f>
        <v>180</v>
      </c>
    </row>
    <row r="22" spans="1:5" ht="30" customHeight="1" x14ac:dyDescent="0.3">
      <c r="B22" s="99"/>
      <c r="C22" s="99"/>
      <c r="D22" s="98" t="s">
        <v>69</v>
      </c>
      <c r="E22" s="97">
        <f>SUM(E14:E21)</f>
        <v>2622.9700000000003</v>
      </c>
    </row>
    <row r="23" spans="1:5" ht="30" customHeight="1" x14ac:dyDescent="0.3">
      <c r="B23" s="96"/>
      <c r="C23" s="96"/>
      <c r="D23" s="95" t="s">
        <v>68</v>
      </c>
      <c r="E23" s="94">
        <f>E22*0.21</f>
        <v>550.82370000000003</v>
      </c>
    </row>
    <row r="24" spans="1:5" ht="30" customHeight="1" x14ac:dyDescent="0.3">
      <c r="A24" s="93"/>
      <c r="B24" s="92"/>
      <c r="C24" s="91"/>
      <c r="D24" s="90" t="s">
        <v>14</v>
      </c>
      <c r="E24" s="89">
        <f>SUM(E22:E23)</f>
        <v>3173.7937000000002</v>
      </c>
    </row>
    <row r="25" spans="1:5" ht="30" customHeight="1" x14ac:dyDescent="0.25">
      <c r="A25" s="88"/>
      <c r="B25" s="87"/>
      <c r="C25" s="86"/>
    </row>
    <row r="26" spans="1:5" ht="30" customHeight="1" x14ac:dyDescent="0.25">
      <c r="B26" s="521" t="s">
        <v>106</v>
      </c>
      <c r="C26" s="521"/>
      <c r="D26" s="521"/>
      <c r="E26" s="521"/>
    </row>
  </sheetData>
  <mergeCells count="3">
    <mergeCell ref="B26:E26"/>
    <mergeCell ref="D1:E1"/>
    <mergeCell ref="D7:E7"/>
  </mergeCells>
  <dataValidations count="32">
    <dataValidation allowBlank="1" showInputMessage="1" showErrorMessage="1" prompt="Agregue el logotipo de la empresa en esta celda y escriba el nombre de la empresa que factura en la celda siguiente" sqref="B1" xr:uid="{00000000-0002-0000-0E00-000000000000}"/>
    <dataValidation allowBlank="1" showInputMessage="1" showErrorMessage="1" prompt="Cree una factura con Cargo financiero en esta hoja de cálculo. Escriba los detalles del envío y del cliente, las descripciones y los importes. El total adeudado se calcula automáticamente. " sqref="A1" xr:uid="{00000000-0002-0000-0E00-000001000000}"/>
    <dataValidation allowBlank="1" showInputMessage="1" showErrorMessage="1" prompt="El título de la hoja está en esta celda. Escriba los detalles de la factura en las celdas D3 a E5." sqref="D1:E1" xr:uid="{00000000-0002-0000-0E00-000002000000}"/>
    <dataValidation allowBlank="1" showInputMessage="1" showErrorMessage="1" prompt="Escriba la factura, el nombre de la empresa, la dirección, la ciudad, la provincia, el código postal y el número de teléfono en las siguientes celdas." sqref="B2" xr:uid="{00000000-0002-0000-0E00-000003000000}"/>
    <dataValidation allowBlank="1" showInputMessage="1" showErrorMessage="1" prompt="Escriba el eslogan de la empresa en esta celda." sqref="C1" xr:uid="{00000000-0002-0000-0E00-000004000000}"/>
    <dataValidation allowBlank="1" showInputMessage="1" showErrorMessage="1" prompt="Escriba la dirección de la empresa de facturación en esta celda." sqref="B3" xr:uid="{00000000-0002-0000-0E00-000005000000}"/>
    <dataValidation allowBlank="1" showInputMessage="1" showErrorMessage="1" prompt="Escriba la ciudad, la provincia y el código postal de la empresa de facturación en esta celda." sqref="B4" xr:uid="{00000000-0002-0000-0E00-000006000000}"/>
    <dataValidation allowBlank="1" showInputMessage="1" showErrorMessage="1" prompt="Escriba en esta celda los números de teléfono y fax de la empresa que factura entre corchetes." sqref="B5" xr:uid="{00000000-0002-0000-0E00-000007000000}"/>
    <dataValidation allowBlank="1" showInputMessage="1" showErrorMessage="1" prompt="Escriba la dirección de correo electrónico de la empresa que factura en esta celda" sqref="B6" xr:uid="{00000000-0002-0000-0E00-000008000000}"/>
    <dataValidation allowBlank="1" showInputMessage="1" showErrorMessage="1" prompt="Escriba la fecha de la factura en la celda de la derecha." sqref="D4" xr:uid="{00000000-0002-0000-0E00-000009000000}"/>
    <dataValidation allowBlank="1" showInputMessage="1" showErrorMessage="1" prompt="Escriba la fecha de la factura en esta celda." sqref="E4" xr:uid="{00000000-0002-0000-0E00-00000A000000}"/>
    <dataValidation allowBlank="1" showInputMessage="1" showErrorMessage="1" prompt="Escriba el número de factura en esta celda." sqref="E3" xr:uid="{00000000-0002-0000-0E00-00000B000000}"/>
    <dataValidation allowBlank="1" showInputMessage="1" showErrorMessage="1" prompt="Escriba el número de factura en la celda de la derecha." sqref="D3" xr:uid="{00000000-0002-0000-0E00-00000C000000}"/>
    <dataValidation allowBlank="1" showInputMessage="1" showErrorMessage="1" prompt="Escriba el Id. del cliente en la celda de la derecha." sqref="D5" xr:uid="{00000000-0002-0000-0E00-00000D000000}"/>
    <dataValidation allowBlank="1" showInputMessage="1" showErrorMessage="1" prompt="Escriba el Id. del cliente en esta celda." sqref="E5" xr:uid="{00000000-0002-0000-0E00-00000E000000}"/>
    <dataValidation allowBlank="1" showInputMessage="1" showErrorMessage="1" prompt="Escriba el nombre del cliente, el nombre de la empresa, la dirección y el número de teléfono en las celdas de abajo y los detalles de envío en las celdas E8 a E12." sqref="B7" xr:uid="{00000000-0002-0000-0E00-00000F000000}"/>
    <dataValidation allowBlank="1" showInputMessage="1" showErrorMessage="1" prompt="Escriba la información de envío en las celdas de abajo." sqref="D7:E7" xr:uid="{00000000-0002-0000-0E00-000010000000}"/>
    <dataValidation allowBlank="1" showInputMessage="1" showErrorMessage="1" prompt="Escriba el nombre de envío en esta celda." sqref="E8" xr:uid="{00000000-0002-0000-0E00-000011000000}"/>
    <dataValidation allowBlank="1" showInputMessage="1" showErrorMessage="1" prompt="Escriba el nombre de la empresa de envío en esta celda." sqref="E9" xr:uid="{00000000-0002-0000-0E00-000012000000}"/>
    <dataValidation allowBlank="1" showInputMessage="1" showErrorMessage="1" prompt="Escriba la dirección de envío en esta celda." sqref="E10" xr:uid="{00000000-0002-0000-0E00-000013000000}"/>
    <dataValidation allowBlank="1" showInputMessage="1" showErrorMessage="1" prompt="Escriba la ciudad, el estado y el código postal de envío en esta celda." sqref="E11" xr:uid="{00000000-0002-0000-0E00-000014000000}"/>
    <dataValidation allowBlank="1" showInputMessage="1" showErrorMessage="1" prompt="Escriba el número de teléfono para el envío en esta celda." sqref="E12" xr:uid="{00000000-0002-0000-0E00-000015000000}"/>
    <dataValidation allowBlank="1" showInputMessage="1" showErrorMessage="1" prompt="Escriba la descripción de la factura en la columna con este encabezado. Use filtros de encabezado para buscar entradas concretas." sqref="B13" xr:uid="{00000000-0002-0000-0E00-000016000000}"/>
    <dataValidation allowBlank="1" showInputMessage="1" showErrorMessage="1" prompt="Escriba el importe en la columna con este encabezado." sqref="D13" xr:uid="{00000000-0002-0000-0E00-000017000000}"/>
    <dataValidation allowBlank="1" showInputMessage="1" showErrorMessage="1" prompt="El importe total se actualiza automáticamente en la columna con este encabezado. La última celda de la tabla contiene el importe Total a pagar." sqref="E13" xr:uid="{00000000-0002-0000-0E00-000018000000}"/>
    <dataValidation allowBlank="1" showInputMessage="1" showErrorMessage="1" prompt="Escriba la cantidad en la columna con este encabezado." sqref="C13" xr:uid="{00000000-0002-0000-0E00-000019000000}"/>
    <dataValidation allowBlank="1" showInputMessage="1" showErrorMessage="1" prompt="El nombre de la empresa se anexa automáticamente en esta celda." sqref="B22" xr:uid="{00000000-0002-0000-0E00-00001A000000}"/>
    <dataValidation allowBlank="1" showInputMessage="1" showErrorMessage="1" prompt="Escriba el nombre del cliente en esta celda." sqref="B8" xr:uid="{00000000-0002-0000-0E00-00001B000000}"/>
    <dataValidation allowBlank="1" showInputMessage="1" showErrorMessage="1" prompt="Escriba el nombre de la empresa en esta celda." sqref="B9" xr:uid="{00000000-0002-0000-0E00-00001C000000}"/>
    <dataValidation allowBlank="1" showInputMessage="1" showErrorMessage="1" prompt="Escriba la dirección del cliente en esta celda." sqref="B10" xr:uid="{00000000-0002-0000-0E00-00001D000000}"/>
    <dataValidation allowBlank="1" showInputMessage="1" showErrorMessage="1" prompt="Escriba la ciudad, el estado y el código postal del cliente en esta celda." sqref="B11" xr:uid="{00000000-0002-0000-0E00-00001E000000}"/>
    <dataValidation allowBlank="1" showInputMessage="1" showErrorMessage="1" prompt="Escriba el número de teléfono del cliente en esta celda." sqref="B12" xr:uid="{00000000-0002-0000-0E00-00001F000000}"/>
  </dataValidations>
  <printOptions horizontalCentered="1"/>
  <pageMargins left="0.4" right="0.4" top="0.4" bottom="0.4" header="0.25" footer="0.25"/>
  <pageSetup paperSize="9" scale="70" fitToHeight="0" orientation="portrait" r:id="rId1"/>
  <headerFooter differentFirst="1">
    <oddFooter>Page &amp;P of &amp;N</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3:I29"/>
  <sheetViews>
    <sheetView showGridLines="0" topLeftCell="B2" zoomScale="87" zoomScaleNormal="87" workbookViewId="0">
      <selection activeCell="G24" sqref="G24"/>
    </sheetView>
  </sheetViews>
  <sheetFormatPr baseColWidth="10" defaultRowHeight="15" x14ac:dyDescent="0.25"/>
  <cols>
    <col min="1" max="1" width="13" style="447" hidden="1" customWidth="1"/>
    <col min="2" max="2" width="12.42578125" style="400" bestFit="1" customWidth="1"/>
    <col min="3" max="3" width="41.140625" style="400" customWidth="1"/>
    <col min="4" max="4" width="19.7109375" style="396" customWidth="1"/>
    <col min="5" max="5" width="12.42578125" style="396" bestFit="1" customWidth="1"/>
    <col min="6" max="6" width="42.42578125" style="396" bestFit="1" customWidth="1"/>
    <col min="7" max="7" width="17.7109375" style="396" customWidth="1"/>
    <col min="8" max="8" width="11.42578125" style="396"/>
    <col min="9" max="9" width="12.5703125" style="396" bestFit="1" customWidth="1"/>
    <col min="10" max="16384" width="11.42578125" style="396"/>
  </cols>
  <sheetData>
    <row r="3" spans="1:9" ht="26.25" x14ac:dyDescent="0.4">
      <c r="A3" s="448"/>
      <c r="B3" s="488" t="s">
        <v>371</v>
      </c>
      <c r="C3" s="489"/>
      <c r="D3" s="489"/>
      <c r="E3" s="489"/>
      <c r="F3" s="489"/>
      <c r="G3" s="489"/>
    </row>
    <row r="4" spans="1:9" ht="18.75" x14ac:dyDescent="0.3">
      <c r="B4" s="397" t="s">
        <v>372</v>
      </c>
      <c r="C4" s="398" t="s">
        <v>373</v>
      </c>
      <c r="E4" s="399" t="s">
        <v>372</v>
      </c>
      <c r="F4" s="398" t="s">
        <v>408</v>
      </c>
      <c r="G4" s="449"/>
    </row>
    <row r="5" spans="1:9" ht="18.75" x14ac:dyDescent="0.3">
      <c r="C5" s="401" t="s">
        <v>374</v>
      </c>
      <c r="E5" s="449"/>
      <c r="F5" s="401" t="s">
        <v>379</v>
      </c>
      <c r="G5" s="449"/>
    </row>
    <row r="6" spans="1:9" ht="15.75" x14ac:dyDescent="0.25">
      <c r="C6" s="402" t="s">
        <v>182</v>
      </c>
      <c r="E6" s="403">
        <v>100</v>
      </c>
      <c r="F6" s="404" t="s">
        <v>380</v>
      </c>
      <c r="G6" s="407">
        <f>TESORERÍA!$C$44</f>
        <v>25000</v>
      </c>
    </row>
    <row r="7" spans="1:9" ht="15.75" x14ac:dyDescent="0.25">
      <c r="A7" s="472">
        <f>D7-D8</f>
        <v>449.024</v>
      </c>
      <c r="B7" s="403">
        <v>206</v>
      </c>
      <c r="C7" s="404" t="s">
        <v>193</v>
      </c>
      <c r="D7" s="407">
        <f>'INVERSIÓN Y AMORT.'!$C$5</f>
        <v>561.28</v>
      </c>
      <c r="E7" s="403">
        <v>129</v>
      </c>
      <c r="F7" s="404" t="s">
        <v>381</v>
      </c>
      <c r="G7" s="407">
        <f>Resultados!$Q$45</f>
        <v>25721.455805357175</v>
      </c>
    </row>
    <row r="8" spans="1:9" ht="15.75" x14ac:dyDescent="0.25">
      <c r="B8" s="403">
        <v>280</v>
      </c>
      <c r="C8" s="404" t="s">
        <v>375</v>
      </c>
      <c r="D8" s="407">
        <f>'INVERSIÓN Y AMORT.'!$G$15</f>
        <v>112.256</v>
      </c>
      <c r="E8" s="449"/>
      <c r="F8" s="449"/>
      <c r="G8" s="449"/>
      <c r="I8" s="383"/>
    </row>
    <row r="9" spans="1:9" x14ac:dyDescent="0.25">
      <c r="C9" s="402" t="s">
        <v>183</v>
      </c>
      <c r="D9" s="408"/>
      <c r="E9" s="449"/>
      <c r="F9" s="449"/>
      <c r="G9" s="449"/>
    </row>
    <row r="10" spans="1:9" ht="15.75" x14ac:dyDescent="0.25">
      <c r="A10" s="470">
        <f>'INVERSIÓN Y AMORT.'!$C$9</f>
        <v>1332.97</v>
      </c>
      <c r="B10" s="403">
        <v>215</v>
      </c>
      <c r="C10" s="404" t="s">
        <v>197</v>
      </c>
      <c r="D10" s="407">
        <f>'INVERSIÓN Y AMORT.'!$C$9</f>
        <v>1332.97</v>
      </c>
      <c r="E10" s="449"/>
      <c r="F10" s="449"/>
      <c r="G10" s="449"/>
    </row>
    <row r="11" spans="1:9" ht="15.75" x14ac:dyDescent="0.25">
      <c r="A11" s="470">
        <f>'INVERSIÓN Y AMORT.'!$C$6</f>
        <v>2282.6999999999998</v>
      </c>
      <c r="B11" s="403">
        <v>216</v>
      </c>
      <c r="C11" s="404" t="s">
        <v>199</v>
      </c>
      <c r="D11" s="407">
        <f>'INVERSIÓN Y AMORT.'!$C$6</f>
        <v>2282.6999999999998</v>
      </c>
      <c r="E11" s="449"/>
      <c r="F11" s="449"/>
      <c r="G11" s="449"/>
    </row>
    <row r="12" spans="1:9" ht="15.75" x14ac:dyDescent="0.25">
      <c r="A12" s="470">
        <f>'INVERSIÓN Y AMORT.'!$C$7</f>
        <v>1095</v>
      </c>
      <c r="B12" s="403">
        <v>217</v>
      </c>
      <c r="C12" s="404" t="s">
        <v>376</v>
      </c>
      <c r="D12" s="407">
        <f>'INVERSIÓN Y AMORT.'!$C$7</f>
        <v>1095</v>
      </c>
      <c r="E12" s="449"/>
      <c r="F12" s="449"/>
      <c r="G12" s="449"/>
    </row>
    <row r="13" spans="1:9" ht="15.75" x14ac:dyDescent="0.25">
      <c r="A13" s="470">
        <f>'INVERSIÓN Y AMORT.'!$C$8</f>
        <v>154.94999999999999</v>
      </c>
      <c r="B13" s="403">
        <v>219</v>
      </c>
      <c r="C13" s="404" t="s">
        <v>196</v>
      </c>
      <c r="D13" s="407">
        <f>'INVERSIÓN Y AMORT.'!$C$8</f>
        <v>154.94999999999999</v>
      </c>
      <c r="E13" s="449"/>
      <c r="F13" s="449"/>
      <c r="G13" s="449"/>
    </row>
    <row r="14" spans="1:9" ht="15.75" x14ac:dyDescent="0.25">
      <c r="A14" s="470"/>
      <c r="B14" s="403">
        <v>281</v>
      </c>
      <c r="C14" s="404" t="s">
        <v>377</v>
      </c>
      <c r="D14" s="407">
        <f>'INVERSIÓN Y AMORT.'!$G$22</f>
        <v>378.37089285714285</v>
      </c>
      <c r="E14" s="449"/>
      <c r="F14" s="449"/>
      <c r="G14" s="449"/>
    </row>
    <row r="15" spans="1:9" ht="15.75" x14ac:dyDescent="0.25">
      <c r="A15" s="470">
        <f>SUM(A10:A13)</f>
        <v>4865.62</v>
      </c>
      <c r="C15" s="405" t="s">
        <v>378</v>
      </c>
      <c r="D15" s="409">
        <f>A7+A16</f>
        <v>4936.273107142857</v>
      </c>
      <c r="F15" s="405" t="s">
        <v>382</v>
      </c>
      <c r="G15" s="409">
        <f>G6+G7</f>
        <v>50721.455805357175</v>
      </c>
    </row>
    <row r="16" spans="1:9" ht="18.75" x14ac:dyDescent="0.3">
      <c r="A16" s="472">
        <f>A15-D14</f>
        <v>4487.2491071428567</v>
      </c>
      <c r="C16" s="401" t="s">
        <v>407</v>
      </c>
      <c r="D16" s="408"/>
      <c r="F16" s="401" t="s">
        <v>383</v>
      </c>
    </row>
    <row r="17" spans="2:7" ht="15.75" x14ac:dyDescent="0.25">
      <c r="D17" s="410"/>
      <c r="E17" s="403">
        <v>4750</v>
      </c>
      <c r="F17" s="404" t="s">
        <v>481</v>
      </c>
      <c r="G17" s="407">
        <f>'I.V.A'!$I$26</f>
        <v>7421.8883649999998</v>
      </c>
    </row>
    <row r="18" spans="2:7" ht="15.75" x14ac:dyDescent="0.25">
      <c r="B18" s="396"/>
      <c r="C18" s="396"/>
      <c r="E18" s="403">
        <v>4751</v>
      </c>
      <c r="F18" s="404" t="s">
        <v>473</v>
      </c>
      <c r="G18" s="407">
        <f>TESORERÍA!$L$31+TESORERÍA!L30</f>
        <v>3765</v>
      </c>
    </row>
    <row r="19" spans="2:7" ht="15.75" x14ac:dyDescent="0.25">
      <c r="B19" s="403">
        <v>572</v>
      </c>
      <c r="C19" s="404" t="s">
        <v>384</v>
      </c>
      <c r="D19" s="407">
        <f>TESORERÍA!$N$56</f>
        <v>66595.229223333357</v>
      </c>
      <c r="E19" s="403">
        <v>4752</v>
      </c>
      <c r="F19" s="404" t="s">
        <v>480</v>
      </c>
      <c r="G19" s="407">
        <f>Resultados!$P$45</f>
        <v>8573.8186017857242</v>
      </c>
    </row>
    <row r="20" spans="2:7" ht="15.75" x14ac:dyDescent="0.25">
      <c r="E20" s="403">
        <v>476</v>
      </c>
      <c r="F20" s="404" t="s">
        <v>484</v>
      </c>
      <c r="G20" s="407">
        <f>TESORERÍA!D16</f>
        <v>1049.3395583333333</v>
      </c>
    </row>
    <row r="22" spans="2:7" ht="15.75" x14ac:dyDescent="0.25">
      <c r="C22" s="406" t="s">
        <v>405</v>
      </c>
      <c r="D22" s="409">
        <f>SUM(D17:D19)</f>
        <v>66595.229223333357</v>
      </c>
      <c r="E22" s="449"/>
      <c r="F22" s="406" t="s">
        <v>414</v>
      </c>
      <c r="G22" s="409">
        <f>SUM(G17:G20)</f>
        <v>20810.046525119054</v>
      </c>
    </row>
    <row r="23" spans="2:7" x14ac:dyDescent="0.25">
      <c r="D23" s="408"/>
      <c r="E23" s="449"/>
      <c r="F23" s="449"/>
    </row>
    <row r="24" spans="2:7" ht="16.5" x14ac:dyDescent="0.25">
      <c r="C24" s="405" t="s">
        <v>406</v>
      </c>
      <c r="D24" s="411">
        <f>$D$15+$D$22</f>
        <v>71531.502330476214</v>
      </c>
      <c r="E24" s="449"/>
      <c r="F24" s="405" t="s">
        <v>413</v>
      </c>
      <c r="G24" s="411">
        <f>G15+G22</f>
        <v>71531.502330476229</v>
      </c>
    </row>
    <row r="25" spans="2:7" x14ac:dyDescent="0.25">
      <c r="G25" s="396" t="s">
        <v>105</v>
      </c>
    </row>
    <row r="28" spans="2:7" x14ac:dyDescent="0.25">
      <c r="G28" s="473">
        <f>G24-D24</f>
        <v>0</v>
      </c>
    </row>
    <row r="29" spans="2:7" x14ac:dyDescent="0.25">
      <c r="G29" s="446">
        <v>4456.8176119990503</v>
      </c>
    </row>
  </sheetData>
  <mergeCells count="1">
    <mergeCell ref="B3:G3"/>
  </mergeCells>
  <pageMargins left="0.7" right="0.7" top="0.75" bottom="0.75" header="0.3" footer="0.3"/>
  <pageSetup paperSize="11" scale="9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3:O26"/>
  <sheetViews>
    <sheetView showGridLines="0" tabSelected="1" zoomScale="80" zoomScaleNormal="80" workbookViewId="0">
      <selection activeCell="G20" sqref="G20"/>
    </sheetView>
  </sheetViews>
  <sheetFormatPr baseColWidth="10" defaultRowHeight="15" x14ac:dyDescent="0.25"/>
  <cols>
    <col min="1" max="1" width="3.85546875" customWidth="1"/>
    <col min="2" max="2" width="29.140625" customWidth="1"/>
    <col min="3" max="10" width="14.42578125" bestFit="1" customWidth="1"/>
    <col min="11" max="11" width="16.140625" bestFit="1" customWidth="1"/>
    <col min="12" max="12" width="14.42578125" bestFit="1" customWidth="1"/>
    <col min="13" max="13" width="15.85546875" bestFit="1" customWidth="1"/>
    <col min="14" max="14" width="14.7109375" bestFit="1" customWidth="1"/>
    <col min="15" max="15" width="13" bestFit="1" customWidth="1"/>
  </cols>
  <sheetData>
    <row r="3" spans="2:15" ht="20.25" x14ac:dyDescent="0.3">
      <c r="B3" s="382" t="s">
        <v>397</v>
      </c>
      <c r="C3" s="490" t="s">
        <v>385</v>
      </c>
      <c r="D3" s="490"/>
      <c r="E3" s="490"/>
      <c r="F3" s="490"/>
      <c r="G3" s="490"/>
      <c r="H3" s="490"/>
      <c r="I3" s="490"/>
      <c r="J3" s="490"/>
      <c r="K3" s="490"/>
      <c r="L3" s="490"/>
      <c r="M3" s="490"/>
      <c r="N3" s="490"/>
    </row>
    <row r="4" spans="2:15" s="384" customFormat="1" ht="20.25" hidden="1" x14ac:dyDescent="0.3">
      <c r="B4" s="385"/>
      <c r="C4" s="386">
        <v>1</v>
      </c>
      <c r="D4" s="386">
        <v>2</v>
      </c>
      <c r="E4" s="386">
        <v>3</v>
      </c>
      <c r="F4" s="386">
        <v>1</v>
      </c>
      <c r="G4" s="386">
        <v>2</v>
      </c>
      <c r="H4" s="386">
        <v>3</v>
      </c>
      <c r="I4" s="386">
        <v>1</v>
      </c>
      <c r="J4" s="386">
        <v>2</v>
      </c>
      <c r="K4" s="386">
        <v>3</v>
      </c>
      <c r="L4" s="386">
        <v>1</v>
      </c>
      <c r="M4" s="386">
        <v>2</v>
      </c>
      <c r="N4" s="386">
        <v>3</v>
      </c>
    </row>
    <row r="5" spans="2:15" ht="15.75" x14ac:dyDescent="0.25">
      <c r="C5" s="381" t="s">
        <v>17</v>
      </c>
      <c r="D5" s="381" t="s">
        <v>18</v>
      </c>
      <c r="E5" s="381" t="s">
        <v>19</v>
      </c>
      <c r="F5" s="381" t="s">
        <v>20</v>
      </c>
      <c r="G5" s="381" t="s">
        <v>21</v>
      </c>
      <c r="H5" s="381" t="s">
        <v>22</v>
      </c>
      <c r="I5" s="381" t="s">
        <v>23</v>
      </c>
      <c r="J5" s="381" t="s">
        <v>24</v>
      </c>
      <c r="K5" s="381" t="s">
        <v>25</v>
      </c>
      <c r="L5" s="381" t="s">
        <v>26</v>
      </c>
      <c r="M5" s="381" t="s">
        <v>27</v>
      </c>
      <c r="N5" s="381" t="s">
        <v>28</v>
      </c>
    </row>
    <row r="6" spans="2:15" ht="15.75" x14ac:dyDescent="0.25">
      <c r="B6" s="388" t="s">
        <v>385</v>
      </c>
      <c r="C6" s="288">
        <f>TESORERÍA!C35+TESORERÍA!C36</f>
        <v>2194.7015999999999</v>
      </c>
      <c r="D6" s="288">
        <f>TESORERÍA!D35+TESORERÍA!D36</f>
        <v>1095.4336000000001</v>
      </c>
      <c r="E6" s="288">
        <f>TESORERÍA!E35+TESORERÍA!E36</f>
        <v>1055.0526</v>
      </c>
      <c r="F6" s="288">
        <f>TESORERÍA!F35+TESORERÍA!F36</f>
        <v>1095.4336000000001</v>
      </c>
      <c r="G6" s="288">
        <f>TESORERÍA!G35+TESORERÍA!G36</f>
        <v>1055.0526</v>
      </c>
      <c r="H6" s="288">
        <f>TESORERÍA!H35+TESORERÍA!H36</f>
        <v>1095.4336000000001</v>
      </c>
      <c r="I6" s="288">
        <f>TESORERÍA!I35+TESORERÍA!I36</f>
        <v>1055.0526</v>
      </c>
      <c r="J6" s="288">
        <f>TESORERÍA!J35+TESORERÍA!J36</f>
        <v>1095.4336000000001</v>
      </c>
      <c r="K6" s="288">
        <f>TESORERÍA!K35+TESORERÍA!K36</f>
        <v>1055.0526</v>
      </c>
      <c r="L6" s="288">
        <f>TESORERÍA!L35+TESORERÍA!L36</f>
        <v>1095.4336000000001</v>
      </c>
      <c r="M6" s="288">
        <f>TESORERÍA!M35+TESORERÍA!M36</f>
        <v>1055.0526</v>
      </c>
      <c r="N6" s="288">
        <f>TESORERÍA!N35+TESORERÍA!N36</f>
        <v>1095.4336000000001</v>
      </c>
      <c r="O6" s="378"/>
    </row>
    <row r="7" spans="2:15" ht="15.75" x14ac:dyDescent="0.25">
      <c r="B7" s="388" t="s">
        <v>386</v>
      </c>
      <c r="C7" s="288" t="str">
        <f>IF(C4=3,C6+D6+E6,"")</f>
        <v/>
      </c>
      <c r="D7" s="288" t="str">
        <f t="shared" ref="D7:M7" si="0">IF(D4=3,D6+E6+F6,"")</f>
        <v/>
      </c>
      <c r="E7" s="288">
        <f>IF(E4=3,$C$6+$D$6+$E$6,"")</f>
        <v>4345.1877999999997</v>
      </c>
      <c r="F7" s="288" t="str">
        <f t="shared" si="0"/>
        <v/>
      </c>
      <c r="G7" s="288" t="str">
        <f t="shared" si="0"/>
        <v/>
      </c>
      <c r="H7" s="288">
        <f>IF(H4=3,$F$6+$G$6+$H$6,"")</f>
        <v>3245.9198000000006</v>
      </c>
      <c r="I7" s="288" t="str">
        <f t="shared" si="0"/>
        <v/>
      </c>
      <c r="J7" s="288" t="str">
        <f t="shared" si="0"/>
        <v/>
      </c>
      <c r="K7" s="288">
        <f>IF(K4=3,$I$6+$J$6+$K$6,"")</f>
        <v>3205.5388000000003</v>
      </c>
      <c r="L7" s="288" t="str">
        <f t="shared" si="0"/>
        <v/>
      </c>
      <c r="M7" s="288" t="str">
        <f t="shared" si="0"/>
        <v/>
      </c>
      <c r="N7" s="288">
        <f>IF(N4=3,$L$6+$M$6+$N$6,"")</f>
        <v>3245.9198000000006</v>
      </c>
      <c r="O7" s="378"/>
    </row>
    <row r="10" spans="2:15" ht="20.25" x14ac:dyDescent="0.3">
      <c r="B10" s="382" t="s">
        <v>397</v>
      </c>
      <c r="C10" s="491" t="s">
        <v>366</v>
      </c>
      <c r="D10" s="491"/>
      <c r="E10" s="491"/>
      <c r="F10" s="491"/>
      <c r="G10" s="491"/>
      <c r="H10" s="491"/>
      <c r="I10" s="491"/>
      <c r="J10" s="491"/>
      <c r="K10" s="491"/>
      <c r="L10" s="491"/>
      <c r="M10" s="491"/>
      <c r="N10" s="491"/>
    </row>
    <row r="11" spans="2:15" ht="19.5" hidden="1" customHeight="1" x14ac:dyDescent="0.3">
      <c r="B11" s="385"/>
      <c r="C11" s="386">
        <v>1</v>
      </c>
      <c r="D11" s="386">
        <v>2</v>
      </c>
      <c r="E11" s="386">
        <v>3</v>
      </c>
      <c r="F11" s="386">
        <v>1</v>
      </c>
      <c r="G11" s="386">
        <v>2</v>
      </c>
      <c r="H11" s="386">
        <v>3</v>
      </c>
      <c r="I11" s="386">
        <v>1</v>
      </c>
      <c r="J11" s="386">
        <v>2</v>
      </c>
      <c r="K11" s="386">
        <v>3</v>
      </c>
      <c r="L11" s="386">
        <v>1</v>
      </c>
      <c r="M11" s="386">
        <v>2</v>
      </c>
      <c r="N11" s="386">
        <v>3</v>
      </c>
    </row>
    <row r="12" spans="2:15" ht="15.75" x14ac:dyDescent="0.25">
      <c r="C12" s="381" t="s">
        <v>17</v>
      </c>
      <c r="D12" s="381" t="s">
        <v>18</v>
      </c>
      <c r="E12" s="381" t="s">
        <v>19</v>
      </c>
      <c r="F12" s="381" t="s">
        <v>20</v>
      </c>
      <c r="G12" s="381" t="s">
        <v>21</v>
      </c>
      <c r="H12" s="381" t="s">
        <v>22</v>
      </c>
      <c r="I12" s="381" t="s">
        <v>23</v>
      </c>
      <c r="J12" s="381" t="s">
        <v>24</v>
      </c>
      <c r="K12" s="381" t="s">
        <v>25</v>
      </c>
      <c r="L12" s="381" t="s">
        <v>26</v>
      </c>
      <c r="M12" s="381" t="s">
        <v>27</v>
      </c>
      <c r="N12" s="381" t="s">
        <v>28</v>
      </c>
    </row>
    <row r="13" spans="2:15" ht="15.75" x14ac:dyDescent="0.25">
      <c r="B13" s="389" t="s">
        <v>366</v>
      </c>
      <c r="C13" s="288">
        <f>TESORERÍA!C48</f>
        <v>3462.9552825000001</v>
      </c>
      <c r="D13" s="288">
        <f>TESORERÍA!D48</f>
        <v>3284.8193699999997</v>
      </c>
      <c r="E13" s="288">
        <f>TESORERÍA!E48</f>
        <v>3692.9815125</v>
      </c>
      <c r="F13" s="288">
        <f>TESORERÍA!F48</f>
        <v>3701.4974850000003</v>
      </c>
      <c r="G13" s="288">
        <f>TESORERÍA!G48</f>
        <v>3878.6021925</v>
      </c>
      <c r="H13" s="288">
        <f>TESORERÍA!H48</f>
        <v>3263.5225874999996</v>
      </c>
      <c r="I13" s="288">
        <f>TESORERÍA!I48</f>
        <v>3793.2730500000002</v>
      </c>
      <c r="J13" s="288">
        <f>TESORERÍA!J48</f>
        <v>3875.2560525000004</v>
      </c>
      <c r="K13" s="288">
        <f>TESORERÍA!K48</f>
        <v>3801.7331624999997</v>
      </c>
      <c r="L13" s="288">
        <f>TESORERÍA!L48</f>
        <v>3400.738425</v>
      </c>
      <c r="M13" s="288">
        <f>TESORERÍA!M48</f>
        <v>3598.3412325000004</v>
      </c>
      <c r="N13" s="288">
        <f>TESORERÍA!N48</f>
        <v>3668.7285075</v>
      </c>
      <c r="O13" s="378"/>
    </row>
    <row r="14" spans="2:15" ht="15.75" x14ac:dyDescent="0.25">
      <c r="B14" s="389" t="s">
        <v>386</v>
      </c>
      <c r="C14" s="288" t="str">
        <f>IF(C11=3,C13+D13+E13,"")</f>
        <v/>
      </c>
      <c r="D14" s="288" t="str">
        <f t="shared" ref="D14" si="1">IF(D11=3,D13+E13+F13,"")</f>
        <v/>
      </c>
      <c r="E14" s="288">
        <f>IF(E11=3,$C$13+$D$13+$E$13,"")</f>
        <v>10440.756165000001</v>
      </c>
      <c r="F14" s="288" t="str">
        <f t="shared" ref="F14" si="2">IF(F11=3,F13+G13+H13,"")</f>
        <v/>
      </c>
      <c r="G14" s="288" t="str">
        <f t="shared" ref="G14" si="3">IF(G11=3,G13+H13+I13,"")</f>
        <v/>
      </c>
      <c r="H14" s="288">
        <f>IF(H11=3,$F$13+$G$13+$H$13,"")</f>
        <v>10843.622265</v>
      </c>
      <c r="I14" s="288" t="str">
        <f t="shared" ref="I14" si="4">IF(I11=3,I13+J13+K13,"")</f>
        <v/>
      </c>
      <c r="J14" s="288" t="str">
        <f t="shared" ref="J14" si="5">IF(J11=3,J13+K13+L13,"")</f>
        <v/>
      </c>
      <c r="K14" s="288">
        <f>IF(K11=3,$I$13+$J$13+$K$13,"")</f>
        <v>11470.262265000001</v>
      </c>
      <c r="L14" s="288" t="str">
        <f t="shared" ref="L14" si="6">IF(L11=3,L13+M13+N13,"")</f>
        <v/>
      </c>
      <c r="M14" s="288" t="str">
        <f t="shared" ref="M14" si="7">IF(M11=3,M13+N13+O13,"")</f>
        <v/>
      </c>
      <c r="N14" s="288">
        <f>IF(N11=3,+$L$13+$M$13+$N$13,"")</f>
        <v>10667.808165</v>
      </c>
      <c r="O14" s="378"/>
    </row>
    <row r="18" spans="2:15" x14ac:dyDescent="0.25">
      <c r="O18" s="378"/>
    </row>
    <row r="22" spans="2:15" s="390" customFormat="1" ht="19.5" thickBot="1" x14ac:dyDescent="0.35">
      <c r="C22" s="492" t="s">
        <v>398</v>
      </c>
      <c r="D22" s="492"/>
      <c r="E22" s="492" t="s">
        <v>399</v>
      </c>
      <c r="F22" s="492"/>
      <c r="G22" s="492" t="s">
        <v>400</v>
      </c>
      <c r="H22" s="492"/>
      <c r="I22" s="492" t="s">
        <v>401</v>
      </c>
      <c r="J22" s="492"/>
    </row>
    <row r="23" spans="2:15" s="391" customFormat="1" ht="16.5" x14ac:dyDescent="0.25">
      <c r="C23" s="392" t="s">
        <v>402</v>
      </c>
      <c r="D23" s="393" t="s">
        <v>403</v>
      </c>
      <c r="E23" s="392" t="s">
        <v>402</v>
      </c>
      <c r="F23" s="393" t="s">
        <v>403</v>
      </c>
      <c r="G23" s="392" t="s">
        <v>402</v>
      </c>
      <c r="H23" s="393" t="s">
        <v>403</v>
      </c>
      <c r="I23" s="392" t="s">
        <v>402</v>
      </c>
      <c r="J23" s="393" t="s">
        <v>403</v>
      </c>
    </row>
    <row r="24" spans="2:15" s="387" customFormat="1" ht="15.75" x14ac:dyDescent="0.25">
      <c r="C24" s="468">
        <f>$E$7</f>
        <v>4345.1877999999997</v>
      </c>
      <c r="D24" s="468">
        <f>$E$14</f>
        <v>10440.756165000001</v>
      </c>
      <c r="E24" s="468">
        <f>$H$7</f>
        <v>3245.9198000000006</v>
      </c>
      <c r="F24" s="468">
        <f>$H$14</f>
        <v>10843.622265</v>
      </c>
      <c r="G24" s="468">
        <f>$K$7</f>
        <v>3205.5388000000003</v>
      </c>
      <c r="H24" s="468">
        <f>$K$14</f>
        <v>11470.262265000001</v>
      </c>
      <c r="I24" s="468">
        <f>$N$7</f>
        <v>3245.9198000000006</v>
      </c>
      <c r="J24" s="468">
        <f>$N$14</f>
        <v>10667.808165</v>
      </c>
    </row>
    <row r="25" spans="2:15" s="387" customFormat="1" x14ac:dyDescent="0.25"/>
    <row r="26" spans="2:15" s="387" customFormat="1" ht="17.25" x14ac:dyDescent="0.3">
      <c r="B26" s="469" t="s">
        <v>368</v>
      </c>
      <c r="C26" s="394">
        <f>D24-C24</f>
        <v>6095.568365000001</v>
      </c>
      <c r="E26" s="394">
        <f>F24-E24</f>
        <v>7597.7024649999994</v>
      </c>
      <c r="G26" s="394">
        <f>H24-G24</f>
        <v>8264.7234650000009</v>
      </c>
      <c r="I26" s="394">
        <f>J24-I24</f>
        <v>7421.8883649999998</v>
      </c>
    </row>
  </sheetData>
  <mergeCells count="6">
    <mergeCell ref="C3:N3"/>
    <mergeCell ref="C10:N10"/>
    <mergeCell ref="C22:D22"/>
    <mergeCell ref="E22:F22"/>
    <mergeCell ref="G22:H22"/>
    <mergeCell ref="I22:J22"/>
  </mergeCells>
  <pageMargins left="0.25" right="0.25" top="0.75" bottom="0.75" header="0.3" footer="0.3"/>
  <pageSetup paperSize="3" orientation="landscape" r:id="rId1"/>
  <ignoredErrors>
    <ignoredError sqref="K7 H7 E14 H14 K14"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G45"/>
  <sheetViews>
    <sheetView showGridLines="0" topLeftCell="A22" zoomScale="80" zoomScaleNormal="80" workbookViewId="0">
      <selection activeCell="G34" sqref="G34:G41"/>
    </sheetView>
  </sheetViews>
  <sheetFormatPr baseColWidth="10" defaultRowHeight="15.75" x14ac:dyDescent="0.25"/>
  <cols>
    <col min="2" max="2" width="42.7109375" style="423" bestFit="1" customWidth="1"/>
    <col min="3" max="3" width="8.85546875" style="340" customWidth="1"/>
    <col min="4" max="4" width="17.85546875" style="414" customWidth="1"/>
    <col min="5" max="5" width="16.5703125" bestFit="1" customWidth="1"/>
    <col min="6" max="6" width="16.85546875" style="422" customWidth="1"/>
    <col min="7" max="7" width="84.140625" customWidth="1"/>
  </cols>
  <sheetData>
    <row r="1" spans="2:7" x14ac:dyDescent="0.25">
      <c r="F1" s="427"/>
    </row>
    <row r="2" spans="2:7" x14ac:dyDescent="0.25">
      <c r="F2" s="427"/>
    </row>
    <row r="3" spans="2:7" ht="15" customHeight="1" x14ac:dyDescent="0.25">
      <c r="B3" s="497" t="s">
        <v>388</v>
      </c>
      <c r="C3" s="416"/>
      <c r="D3" s="502" t="s">
        <v>404</v>
      </c>
      <c r="E3" s="418"/>
      <c r="F3" s="501">
        <f>BALANCE!D22-BALANCE!G22</f>
        <v>45785.182698214303</v>
      </c>
      <c r="G3" s="493" t="s">
        <v>421</v>
      </c>
    </row>
    <row r="4" spans="2:7" ht="15.75" customHeight="1" x14ac:dyDescent="0.25">
      <c r="B4" s="497"/>
      <c r="C4" s="416"/>
      <c r="D4" s="502"/>
      <c r="E4" s="413"/>
      <c r="F4" s="501"/>
      <c r="G4" s="493"/>
    </row>
    <row r="5" spans="2:7" ht="15" customHeight="1" x14ac:dyDescent="0.25">
      <c r="B5" s="497"/>
      <c r="C5" s="416"/>
      <c r="D5" s="502"/>
      <c r="E5" s="412"/>
      <c r="F5" s="501"/>
      <c r="G5" s="493"/>
    </row>
    <row r="6" spans="2:7" s="421" customFormat="1" x14ac:dyDescent="0.25">
      <c r="B6" s="424"/>
      <c r="C6" s="419"/>
      <c r="D6" s="420"/>
      <c r="F6" s="422"/>
    </row>
    <row r="7" spans="2:7" ht="15" customHeight="1" x14ac:dyDescent="0.25">
      <c r="B7" s="495" t="s">
        <v>389</v>
      </c>
      <c r="C7" s="416"/>
      <c r="D7" s="498" t="s">
        <v>422</v>
      </c>
      <c r="E7" s="418"/>
      <c r="F7" s="496">
        <f>BALANCE!$D$19/BALANCE!$G$22</f>
        <v>3.2001480219156968</v>
      </c>
      <c r="G7" s="494" t="s">
        <v>491</v>
      </c>
    </row>
    <row r="8" spans="2:7" ht="15.75" customHeight="1" x14ac:dyDescent="0.25">
      <c r="B8" s="495"/>
      <c r="C8" s="416"/>
      <c r="D8" s="498"/>
      <c r="E8" s="413"/>
      <c r="F8" s="496"/>
      <c r="G8" s="494"/>
    </row>
    <row r="9" spans="2:7" ht="15.75" customHeight="1" x14ac:dyDescent="0.25">
      <c r="B9" s="495"/>
      <c r="C9" s="416"/>
      <c r="D9" s="499" t="s">
        <v>410</v>
      </c>
      <c r="E9" s="412"/>
      <c r="F9" s="496"/>
      <c r="G9" s="494"/>
    </row>
    <row r="10" spans="2:7" ht="15.75" customHeight="1" x14ac:dyDescent="0.25">
      <c r="B10" s="495"/>
      <c r="C10" s="416"/>
      <c r="D10" s="500"/>
      <c r="E10" s="412"/>
      <c r="F10" s="496"/>
      <c r="G10" s="494"/>
    </row>
    <row r="11" spans="2:7" s="427" customFormat="1" ht="15.75" customHeight="1" x14ac:dyDescent="0.25">
      <c r="B11" s="428"/>
      <c r="C11" s="425"/>
      <c r="D11" s="426"/>
      <c r="F11" s="422"/>
    </row>
    <row r="12" spans="2:7" ht="15.75" customHeight="1" x14ac:dyDescent="0.25">
      <c r="B12" s="497" t="s">
        <v>390</v>
      </c>
      <c r="C12" s="416"/>
      <c r="D12" s="415" t="s">
        <v>409</v>
      </c>
      <c r="E12" s="418"/>
      <c r="F12" s="496">
        <f>(BALANCE!$D$22+BALANCE!G17)/BALANCE!$G$22</f>
        <v>3.5567973141717859</v>
      </c>
      <c r="G12" s="493" t="s">
        <v>492</v>
      </c>
    </row>
    <row r="13" spans="2:7" ht="15.75" customHeight="1" x14ac:dyDescent="0.25">
      <c r="B13" s="497"/>
      <c r="C13" s="416"/>
      <c r="D13" s="416" t="s">
        <v>410</v>
      </c>
      <c r="E13" s="413"/>
      <c r="F13" s="496"/>
      <c r="G13" s="493"/>
    </row>
    <row r="14" spans="2:7" ht="15.75" customHeight="1" x14ac:dyDescent="0.25">
      <c r="B14" s="497"/>
      <c r="C14" s="416"/>
      <c r="D14" s="417"/>
      <c r="E14" s="412"/>
      <c r="F14" s="496"/>
      <c r="G14" s="493"/>
    </row>
    <row r="15" spans="2:7" s="427" customFormat="1" ht="15.75" customHeight="1" x14ac:dyDescent="0.25">
      <c r="B15" s="428"/>
      <c r="C15" s="425"/>
      <c r="D15" s="426"/>
      <c r="F15" s="429"/>
      <c r="G15" s="430"/>
    </row>
    <row r="16" spans="2:7" ht="15.75" customHeight="1" x14ac:dyDescent="0.25">
      <c r="B16" s="495" t="s">
        <v>391</v>
      </c>
      <c r="C16" s="416"/>
      <c r="D16" s="415" t="s">
        <v>411</v>
      </c>
      <c r="E16" s="418"/>
      <c r="F16" s="496">
        <f>BALANCE!$D$22/BALANCE!$G$22</f>
        <v>3.2001480219156968</v>
      </c>
      <c r="G16" s="494" t="s">
        <v>493</v>
      </c>
    </row>
    <row r="17" spans="2:7" ht="15.75" customHeight="1" x14ac:dyDescent="0.25">
      <c r="B17" s="495"/>
      <c r="C17" s="416"/>
      <c r="D17" s="416" t="s">
        <v>410</v>
      </c>
      <c r="E17" s="413"/>
      <c r="F17" s="496"/>
      <c r="G17" s="494"/>
    </row>
    <row r="18" spans="2:7" ht="15.75" customHeight="1" x14ac:dyDescent="0.25">
      <c r="B18" s="495"/>
      <c r="C18" s="416"/>
      <c r="D18" s="417"/>
      <c r="E18" s="412"/>
      <c r="F18" s="496"/>
      <c r="G18" s="494"/>
    </row>
    <row r="19" spans="2:7" s="427" customFormat="1" ht="15.75" customHeight="1" x14ac:dyDescent="0.25">
      <c r="B19" s="428"/>
      <c r="C19" s="425"/>
      <c r="D19" s="426"/>
      <c r="F19" s="429"/>
      <c r="G19" s="430"/>
    </row>
    <row r="20" spans="2:7" ht="15.75" customHeight="1" x14ac:dyDescent="0.25">
      <c r="B20" s="497" t="s">
        <v>392</v>
      </c>
      <c r="C20" s="416"/>
      <c r="D20" s="498" t="s">
        <v>415</v>
      </c>
      <c r="E20" s="418"/>
      <c r="F20" s="496">
        <f>BALANCE!$D$24/BALANCE!$G$24</f>
        <v>0.99999999999999978</v>
      </c>
      <c r="G20" s="493" t="s">
        <v>423</v>
      </c>
    </row>
    <row r="21" spans="2:7" ht="15.75" customHeight="1" x14ac:dyDescent="0.25">
      <c r="B21" s="497"/>
      <c r="C21" s="416"/>
      <c r="D21" s="498"/>
      <c r="E21" s="413"/>
      <c r="F21" s="496"/>
      <c r="G21" s="493"/>
    </row>
    <row r="22" spans="2:7" ht="15.75" customHeight="1" x14ac:dyDescent="0.25">
      <c r="B22" s="497"/>
      <c r="C22" s="416"/>
      <c r="D22" s="499" t="s">
        <v>427</v>
      </c>
      <c r="E22" s="412"/>
      <c r="F22" s="496"/>
      <c r="G22" s="493"/>
    </row>
    <row r="23" spans="2:7" ht="15.75" customHeight="1" x14ac:dyDescent="0.25">
      <c r="B23" s="497"/>
      <c r="C23" s="416"/>
      <c r="D23" s="500"/>
      <c r="E23" s="412"/>
      <c r="F23" s="496"/>
      <c r="G23" s="493"/>
    </row>
    <row r="24" spans="2:7" s="427" customFormat="1" x14ac:dyDescent="0.25">
      <c r="B24" s="428"/>
      <c r="C24" s="425"/>
      <c r="D24" s="426"/>
      <c r="F24" s="422"/>
    </row>
    <row r="25" spans="2:7" ht="15.75" customHeight="1" x14ac:dyDescent="0.25">
      <c r="B25" s="495" t="s">
        <v>393</v>
      </c>
      <c r="C25" s="416"/>
      <c r="D25" s="415" t="s">
        <v>416</v>
      </c>
      <c r="E25" s="418"/>
      <c r="F25" s="496">
        <f>BALANCE!$G$22/BALANCE!$G$15</f>
        <v>0.41028093919420011</v>
      </c>
      <c r="G25" s="494" t="s">
        <v>494</v>
      </c>
    </row>
    <row r="26" spans="2:7" ht="15.75" customHeight="1" x14ac:dyDescent="0.25">
      <c r="B26" s="495"/>
      <c r="C26" s="416"/>
      <c r="D26" s="416" t="s">
        <v>417</v>
      </c>
      <c r="E26" s="413"/>
      <c r="F26" s="496"/>
      <c r="G26" s="494"/>
    </row>
    <row r="27" spans="2:7" ht="15.75" customHeight="1" x14ac:dyDescent="0.25">
      <c r="B27" s="495"/>
      <c r="C27" s="416"/>
      <c r="D27" s="417"/>
      <c r="E27" s="412"/>
      <c r="F27" s="496"/>
      <c r="G27" s="494"/>
    </row>
    <row r="28" spans="2:7" s="427" customFormat="1" ht="15.75" customHeight="1" x14ac:dyDescent="0.25">
      <c r="B28" s="428"/>
      <c r="C28" s="425"/>
      <c r="D28" s="426"/>
      <c r="F28" s="429"/>
      <c r="G28" s="430"/>
    </row>
    <row r="29" spans="2:7" ht="15.75" customHeight="1" x14ac:dyDescent="0.25">
      <c r="B29" s="497" t="s">
        <v>394</v>
      </c>
      <c r="C29" s="416"/>
      <c r="D29" s="498" t="s">
        <v>417</v>
      </c>
      <c r="E29" s="418"/>
      <c r="F29" s="496">
        <f>BALANCE!$G$15/BALANCE!$G$22</f>
        <v>2.4373542723286632</v>
      </c>
      <c r="G29" s="493" t="s">
        <v>495</v>
      </c>
    </row>
    <row r="30" spans="2:7" ht="15.75" customHeight="1" x14ac:dyDescent="0.25">
      <c r="B30" s="497"/>
      <c r="C30" s="416"/>
      <c r="D30" s="498"/>
      <c r="E30" s="413"/>
      <c r="F30" s="496"/>
      <c r="G30" s="493"/>
    </row>
    <row r="31" spans="2:7" ht="15.75" customHeight="1" x14ac:dyDescent="0.25">
      <c r="B31" s="497"/>
      <c r="C31" s="416"/>
      <c r="D31" s="499" t="s">
        <v>416</v>
      </c>
      <c r="E31" s="412"/>
      <c r="F31" s="496"/>
      <c r="G31" s="493"/>
    </row>
    <row r="32" spans="2:7" ht="15.75" customHeight="1" x14ac:dyDescent="0.25">
      <c r="B32" s="497"/>
      <c r="C32" s="416"/>
      <c r="D32" s="500"/>
      <c r="E32" s="412"/>
      <c r="F32" s="496"/>
      <c r="G32" s="493"/>
    </row>
    <row r="33" spans="2:7" s="427" customFormat="1" ht="15.75" customHeight="1" x14ac:dyDescent="0.25">
      <c r="B33" s="428"/>
      <c r="C33" s="425"/>
      <c r="D33" s="426"/>
      <c r="F33" s="422"/>
    </row>
    <row r="34" spans="2:7" ht="15" customHeight="1" x14ac:dyDescent="0.25">
      <c r="B34" s="495" t="s">
        <v>395</v>
      </c>
      <c r="C34" s="416"/>
      <c r="D34" s="498" t="s">
        <v>418</v>
      </c>
      <c r="E34" s="498" t="s">
        <v>426</v>
      </c>
      <c r="F34" s="496">
        <f>(BALANCE!$G$7/BALANCE!$D$24)*100</f>
        <v>35.958221157615014</v>
      </c>
      <c r="G34" s="494" t="s">
        <v>424</v>
      </c>
    </row>
    <row r="35" spans="2:7" ht="15.75" customHeight="1" x14ac:dyDescent="0.25">
      <c r="B35" s="495"/>
      <c r="C35" s="416"/>
      <c r="D35" s="498"/>
      <c r="E35" s="498"/>
      <c r="F35" s="496"/>
      <c r="G35" s="494"/>
    </row>
    <row r="36" spans="2:7" ht="15.75" customHeight="1" x14ac:dyDescent="0.25">
      <c r="B36" s="495"/>
      <c r="C36" s="416"/>
      <c r="D36" s="498"/>
      <c r="E36" s="498"/>
      <c r="F36" s="496"/>
      <c r="G36" s="494"/>
    </row>
    <row r="37" spans="2:7" ht="15.75" customHeight="1" x14ac:dyDescent="0.25">
      <c r="B37" s="495"/>
      <c r="C37" s="416"/>
      <c r="D37" s="498"/>
      <c r="E37" s="498"/>
      <c r="F37" s="496"/>
      <c r="G37" s="494"/>
    </row>
    <row r="38" spans="2:7" ht="15.75" customHeight="1" x14ac:dyDescent="0.25">
      <c r="B38" s="495"/>
      <c r="C38" s="416"/>
      <c r="D38" s="499" t="s">
        <v>419</v>
      </c>
      <c r="E38" s="499" t="s">
        <v>373</v>
      </c>
      <c r="F38" s="496"/>
      <c r="G38" s="494"/>
    </row>
    <row r="39" spans="2:7" ht="15.75" customHeight="1" x14ac:dyDescent="0.25">
      <c r="B39" s="495"/>
      <c r="C39" s="416"/>
      <c r="D39" s="500"/>
      <c r="E39" s="500"/>
      <c r="F39" s="496"/>
      <c r="G39" s="494"/>
    </row>
    <row r="40" spans="2:7" ht="15.75" customHeight="1" x14ac:dyDescent="0.25">
      <c r="B40" s="495"/>
      <c r="C40" s="416"/>
      <c r="D40" s="500"/>
      <c r="E40" s="500"/>
      <c r="F40" s="496"/>
      <c r="G40" s="494"/>
    </row>
    <row r="41" spans="2:7" ht="29.25" customHeight="1" x14ac:dyDescent="0.25">
      <c r="B41" s="495"/>
      <c r="C41" s="416"/>
      <c r="D41" s="500"/>
      <c r="E41" s="500"/>
      <c r="F41" s="496"/>
      <c r="G41" s="494"/>
    </row>
    <row r="42" spans="2:7" s="427" customFormat="1" ht="15.75" customHeight="1" x14ac:dyDescent="0.25">
      <c r="B42" s="428"/>
      <c r="C42" s="425"/>
      <c r="D42" s="426"/>
      <c r="F42" s="422"/>
    </row>
    <row r="43" spans="2:7" ht="15.75" customHeight="1" x14ac:dyDescent="0.25">
      <c r="B43" s="497" t="s">
        <v>396</v>
      </c>
      <c r="C43" s="416"/>
      <c r="D43" s="415" t="s">
        <v>420</v>
      </c>
      <c r="E43" s="418"/>
      <c r="F43" s="496">
        <f>(Resultados!$Q$45/BALANCE!$G$15)*100</f>
        <v>50.711193905914044</v>
      </c>
      <c r="G43" s="493" t="s">
        <v>496</v>
      </c>
    </row>
    <row r="44" spans="2:7" ht="15.75" customHeight="1" x14ac:dyDescent="0.25">
      <c r="B44" s="497"/>
      <c r="C44" s="416"/>
      <c r="D44" s="416" t="s">
        <v>425</v>
      </c>
      <c r="E44" s="412"/>
      <c r="F44" s="496"/>
      <c r="G44" s="493"/>
    </row>
    <row r="45" spans="2:7" ht="15.75" customHeight="1" x14ac:dyDescent="0.25">
      <c r="B45" s="497"/>
      <c r="C45" s="416"/>
      <c r="D45" s="418"/>
      <c r="E45" s="418"/>
      <c r="F45" s="496"/>
      <c r="G45" s="493"/>
    </row>
  </sheetData>
  <mergeCells count="38">
    <mergeCell ref="D3:D5"/>
    <mergeCell ref="D7:D8"/>
    <mergeCell ref="D9:D10"/>
    <mergeCell ref="D20:D21"/>
    <mergeCell ref="B3:B5"/>
    <mergeCell ref="B7:B10"/>
    <mergeCell ref="B12:B14"/>
    <mergeCell ref="B16:B18"/>
    <mergeCell ref="B20:B23"/>
    <mergeCell ref="D22:D23"/>
    <mergeCell ref="F3:F5"/>
    <mergeCell ref="F7:F10"/>
    <mergeCell ref="F20:F23"/>
    <mergeCell ref="F12:F14"/>
    <mergeCell ref="F16:F18"/>
    <mergeCell ref="G43:G45"/>
    <mergeCell ref="B43:B45"/>
    <mergeCell ref="F29:F32"/>
    <mergeCell ref="F34:F41"/>
    <mergeCell ref="F43:F45"/>
    <mergeCell ref="G29:G32"/>
    <mergeCell ref="G34:G41"/>
    <mergeCell ref="D29:D30"/>
    <mergeCell ref="D31:D32"/>
    <mergeCell ref="D34:D37"/>
    <mergeCell ref="D38:D41"/>
    <mergeCell ref="G25:G27"/>
    <mergeCell ref="B25:B27"/>
    <mergeCell ref="F25:F27"/>
    <mergeCell ref="B29:B32"/>
    <mergeCell ref="B34:B41"/>
    <mergeCell ref="E34:E37"/>
    <mergeCell ref="E38:E41"/>
    <mergeCell ref="G20:G23"/>
    <mergeCell ref="G3:G5"/>
    <mergeCell ref="G7:G10"/>
    <mergeCell ref="G12:G14"/>
    <mergeCell ref="G16:G18"/>
  </mergeCells>
  <pageMargins left="0.39370078740157483" right="0.11811023622047245" top="0.19685039370078741" bottom="0.19685039370078741" header="0.11811023622047245" footer="0.11811023622047245"/>
  <pageSetup paperSize="12" scale="8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pageSetUpPr fitToPage="1"/>
  </sheetPr>
  <dimension ref="B1:H21"/>
  <sheetViews>
    <sheetView showGridLines="0" showZeros="0" topLeftCell="A10" zoomScaleNormal="100" zoomScalePageLayoutView="40" workbookViewId="0">
      <selection activeCell="G14" sqref="G14"/>
    </sheetView>
  </sheetViews>
  <sheetFormatPr baseColWidth="10" defaultColWidth="10.28515625" defaultRowHeight="30" customHeight="1" x14ac:dyDescent="0.25"/>
  <cols>
    <col min="1" max="1" width="3" style="262" customWidth="1"/>
    <col min="2" max="2" width="24.7109375" style="262" customWidth="1"/>
    <col min="3" max="3" width="21.28515625" style="262" customWidth="1"/>
    <col min="4" max="4" width="21.42578125" style="262" customWidth="1"/>
    <col min="5" max="5" width="29.28515625" style="262" customWidth="1"/>
    <col min="6" max="6" width="45.42578125" style="262" bestFit="1" customWidth="1"/>
    <col min="7" max="7" width="17.85546875" style="262" customWidth="1"/>
    <col min="8" max="8" width="21.28515625" style="262" customWidth="1"/>
    <col min="9" max="9" width="3" style="262" customWidth="1"/>
    <col min="10" max="16384" width="10.28515625" style="262"/>
  </cols>
  <sheetData>
    <row r="1" spans="2:8" ht="97.5" customHeight="1" x14ac:dyDescent="0.25">
      <c r="B1" s="505"/>
      <c r="C1" s="505"/>
      <c r="D1" s="505"/>
      <c r="E1" s="505"/>
      <c r="F1" s="505"/>
      <c r="G1" s="505"/>
      <c r="H1" s="505"/>
    </row>
    <row r="2" spans="2:8" ht="24" customHeight="1" x14ac:dyDescent="0.25">
      <c r="B2" s="268"/>
      <c r="C2" s="268"/>
      <c r="D2" s="268"/>
      <c r="E2" s="266" t="s">
        <v>61</v>
      </c>
      <c r="F2" s="506">
        <v>44562</v>
      </c>
      <c r="G2" s="506"/>
      <c r="H2" s="268"/>
    </row>
    <row r="3" spans="2:8" ht="22.5" customHeight="1" x14ac:dyDescent="0.25">
      <c r="B3" s="275" t="s">
        <v>236</v>
      </c>
      <c r="E3" s="263" t="s">
        <v>227</v>
      </c>
      <c r="F3" s="262">
        <v>135</v>
      </c>
      <c r="G3" s="264"/>
      <c r="H3" s="274"/>
    </row>
    <row r="4" spans="2:8" ht="22.5" customHeight="1" x14ac:dyDescent="0.25">
      <c r="B4" s="273"/>
      <c r="C4" s="507" t="s">
        <v>93</v>
      </c>
      <c r="D4" s="507"/>
      <c r="E4" s="266"/>
      <c r="F4" s="269"/>
      <c r="G4" s="264"/>
      <c r="H4" s="274"/>
    </row>
    <row r="5" spans="2:8" ht="22.5" customHeight="1" x14ac:dyDescent="0.25">
      <c r="B5" s="273"/>
      <c r="C5" s="507" t="s">
        <v>235</v>
      </c>
      <c r="D5" s="507"/>
      <c r="E5" s="266"/>
      <c r="F5" s="272"/>
      <c r="G5" s="264"/>
      <c r="H5" s="271"/>
    </row>
    <row r="6" spans="2:8" ht="24" customHeight="1" x14ac:dyDescent="0.25">
      <c r="B6" s="268"/>
      <c r="C6" s="270" t="s">
        <v>212</v>
      </c>
      <c r="D6" s="269"/>
      <c r="E6" s="268"/>
      <c r="F6" s="268"/>
      <c r="G6" s="268"/>
      <c r="H6" s="268"/>
    </row>
    <row r="7" spans="2:8" ht="54.75" customHeight="1" x14ac:dyDescent="0.25">
      <c r="B7" s="511" t="s">
        <v>234</v>
      </c>
      <c r="C7" s="511"/>
      <c r="D7" s="511"/>
      <c r="E7" s="511"/>
      <c r="F7" s="511"/>
      <c r="G7" s="511"/>
      <c r="H7" s="511"/>
    </row>
    <row r="8" spans="2:8" ht="26.25" customHeight="1" x14ac:dyDescent="0.25">
      <c r="B8" s="267"/>
      <c r="C8" s="267"/>
      <c r="D8" s="267"/>
      <c r="E8" s="267"/>
      <c r="F8" s="267"/>
      <c r="G8" s="267"/>
      <c r="H8" s="267"/>
    </row>
    <row r="9" spans="2:8" ht="22.5" customHeight="1" x14ac:dyDescent="0.25">
      <c r="B9" s="266"/>
      <c r="C9" s="507"/>
      <c r="D9" s="507"/>
      <c r="E9" s="266" t="s">
        <v>233</v>
      </c>
      <c r="F9" s="272" t="s">
        <v>431</v>
      </c>
      <c r="G9" s="272"/>
    </row>
    <row r="10" spans="2:8" ht="22.5" customHeight="1" x14ac:dyDescent="0.25">
      <c r="E10" s="265"/>
      <c r="F10" s="272" t="s">
        <v>432</v>
      </c>
      <c r="G10" s="272"/>
    </row>
    <row r="11" spans="2:8" ht="22.5" customHeight="1" x14ac:dyDescent="0.25">
      <c r="B11" s="266"/>
      <c r="C11" s="507"/>
      <c r="D11" s="507"/>
      <c r="E11" s="265"/>
      <c r="F11" s="272" t="s">
        <v>238</v>
      </c>
      <c r="G11" s="272"/>
    </row>
    <row r="12" spans="2:8" ht="22.5" customHeight="1" x14ac:dyDescent="0.25">
      <c r="F12" s="264" t="s">
        <v>171</v>
      </c>
      <c r="G12" s="507"/>
      <c r="H12" s="507"/>
    </row>
    <row r="14" spans="2:8" ht="30" customHeight="1" x14ac:dyDescent="0.25">
      <c r="B14" s="504" t="s">
        <v>115</v>
      </c>
      <c r="C14" s="504"/>
      <c r="D14" s="504"/>
      <c r="E14" s="282" t="s">
        <v>144</v>
      </c>
    </row>
    <row r="15" spans="2:8" ht="30" customHeight="1" x14ac:dyDescent="0.25">
      <c r="B15" s="508" t="s">
        <v>237</v>
      </c>
      <c r="C15" s="509"/>
      <c r="D15" s="510"/>
      <c r="E15" s="279">
        <v>350</v>
      </c>
    </row>
    <row r="16" spans="2:8" ht="30" customHeight="1" x14ac:dyDescent="0.25">
      <c r="D16" s="276" t="s">
        <v>219</v>
      </c>
      <c r="E16" s="279">
        <f>E15</f>
        <v>350</v>
      </c>
    </row>
    <row r="17" spans="2:8" ht="30" customHeight="1" x14ac:dyDescent="0.25">
      <c r="D17" s="276" t="s">
        <v>176</v>
      </c>
      <c r="E17" s="280">
        <f>E16*0.21</f>
        <v>73.5</v>
      </c>
    </row>
    <row r="18" spans="2:8" ht="30" customHeight="1" x14ac:dyDescent="0.25">
      <c r="D18" s="278" t="s">
        <v>14</v>
      </c>
      <c r="E18" s="281">
        <f>E16+E17</f>
        <v>423.5</v>
      </c>
    </row>
    <row r="20" spans="2:8" ht="30" customHeight="1" x14ac:dyDescent="0.25">
      <c r="B20" s="503" t="s">
        <v>232</v>
      </c>
      <c r="C20" s="503"/>
      <c r="D20" s="503"/>
      <c r="E20" s="503"/>
      <c r="F20" s="503"/>
      <c r="G20" s="503"/>
      <c r="H20" s="503"/>
    </row>
    <row r="21" spans="2:8" ht="30" customHeight="1" x14ac:dyDescent="0.25">
      <c r="B21" s="277" t="s">
        <v>231</v>
      </c>
      <c r="C21" s="277"/>
      <c r="D21" s="277"/>
      <c r="E21" s="277"/>
      <c r="F21" s="277"/>
      <c r="G21" s="277"/>
      <c r="H21" s="277"/>
    </row>
  </sheetData>
  <mergeCells count="11">
    <mergeCell ref="B20:H20"/>
    <mergeCell ref="B14:D14"/>
    <mergeCell ref="B1:H1"/>
    <mergeCell ref="F2:G2"/>
    <mergeCell ref="C9:D9"/>
    <mergeCell ref="C11:D11"/>
    <mergeCell ref="B15:D15"/>
    <mergeCell ref="B7:H7"/>
    <mergeCell ref="C4:D4"/>
    <mergeCell ref="C5:D5"/>
    <mergeCell ref="G12:H12"/>
  </mergeCells>
  <dataValidations xWindow="842" yWindow="744" count="23">
    <dataValidation allowBlank="1" showInputMessage="1" showErrorMessage="1" prompt="Escriba la información del extracto y del envío en las celdas siguientes. Las entradas crearán automáticamente un comprobante de envío al final, debajo de la línea perforada. Escriba los detalles de facturación en las celdas G9 a G13." sqref="B7:H7" xr:uid="{00000000-0002-0000-0900-000000000000}"/>
    <dataValidation allowBlank="1" showInputMessage="1" showErrorMessage="1" prompt="Escriba el nombre de la empresa en esta celda, la dirección en la celda siguiente y el número de teléfono, el número de fax y la dirección de correo electrónico en las celdas de F3 a F5." sqref="B1:H1" xr:uid="{00000000-0002-0000-0900-000001000000}"/>
    <dataValidation allowBlank="1" showInputMessage="1" showErrorMessage="1" prompt="Escriba la ciudad, la provincia y el código postal de la empresa en esta celda." sqref="C5:C6 E4:E5" xr:uid="{00000000-0002-0000-0900-000002000000}"/>
    <dataValidation allowBlank="1" showInputMessage="1" showErrorMessage="1" prompt="Escriba la dirección de correo electrónico en la celda de la derecha." sqref="E5" xr:uid="{00000000-0002-0000-0900-000003000000}"/>
    <dataValidation allowBlank="1" showInputMessage="1" showErrorMessage="1" prompt="Escriba la dirección de correo electrónico de la empresa en esta celda." sqref="F5" xr:uid="{00000000-0002-0000-0900-000004000000}"/>
    <dataValidation allowBlank="1" showInputMessage="1" showErrorMessage="1" prompt="Escriba el número de fax de la empresa en esta celda." sqref="F4" xr:uid="{00000000-0002-0000-0900-000005000000}"/>
    <dataValidation allowBlank="1" showInputMessage="1" showErrorMessage="1" prompt="Escriba el número de teléfono de la empresa en esta celda." sqref="D6" xr:uid="{00000000-0002-0000-0900-000006000000}"/>
    <dataValidation allowBlank="1" showInputMessage="1" showErrorMessage="1" prompt="Cree un extracto de facturación en este libro. Escriba la información de la empresa, cliente, extracto y detalles de envío. El importe pendiente de pago se calcula automáticamente." sqref="A1" xr:uid="{00000000-0002-0000-0900-000007000000}"/>
    <dataValidation allowBlank="1" showInputMessage="1" showErrorMessage="1" prompt="Escriba la dirección 2 del cliente en esta celda." sqref="G12:H12" xr:uid="{00000000-0002-0000-0900-000008000000}"/>
    <dataValidation allowBlank="1" showInputMessage="1" showErrorMessage="1" prompt="Escriba la dirección del cliente en esta celda." sqref="F11:G11" xr:uid="{00000000-0002-0000-0900-000009000000}"/>
    <dataValidation allowBlank="1" showInputMessage="1" showErrorMessage="1" prompt="Escriba el nombre de la empresa del cliente en esta celda." sqref="F10:G10" xr:uid="{00000000-0002-0000-0900-00000A000000}"/>
    <dataValidation allowBlank="1" showInputMessage="1" showErrorMessage="1" prompt="Escriba el nombre del cliente en esta celda." sqref="F9:G9" xr:uid="{00000000-0002-0000-0900-00000B000000}"/>
    <dataValidation allowBlank="1" showInputMessage="1" showErrorMessage="1" prompt="Escriba el número de días en los que vence el saldo en esta celda." sqref="B21" xr:uid="{00000000-0002-0000-0900-00000C000000}"/>
    <dataValidation allowBlank="1" showInputMessage="1" showErrorMessage="1" prompt="Escriba la información de facturación en las celdas de la derecha." sqref="E9" xr:uid="{00000000-0002-0000-0900-00000D000000}"/>
    <dataValidation allowBlank="1" showInputMessage="1" showErrorMessage="1" prompt="Escriba el número de fax en la celda de la derecha" sqref="E4" xr:uid="{00000000-0002-0000-0900-00000E000000}"/>
    <dataValidation allowBlank="1" showInputMessage="1" showErrorMessage="1" prompt="Escriba el número de teléfono en la celda de la derecha." sqref="C6" xr:uid="{00000000-0002-0000-0900-00000F000000}"/>
    <dataValidation allowBlank="1" showInputMessage="1" showErrorMessage="1" prompt="Escriba el id. del cliente en esta celda." sqref="C11:D11" xr:uid="{00000000-0002-0000-0900-000010000000}"/>
    <dataValidation allowBlank="1" showInputMessage="1" showErrorMessage="1" prompt="Escriba el id. del cliente en la celda de la derecha." sqref="B11" xr:uid="{00000000-0002-0000-0900-000011000000}"/>
    <dataValidation allowBlank="1" showInputMessage="1" showErrorMessage="1" prompt="Escriba la fecha en esta celda." sqref="F2:G2" xr:uid="{00000000-0002-0000-0900-000012000000}"/>
    <dataValidation allowBlank="1" showInputMessage="1" showErrorMessage="1" prompt="Escriba la fecha en la celda de la derecha." sqref="E2" xr:uid="{00000000-0002-0000-0900-000013000000}"/>
    <dataValidation allowBlank="1" showInputMessage="1" showErrorMessage="1" prompt="Escriba el número del extracto en esta celda." sqref="C9:D9" xr:uid="{00000000-0002-0000-0900-000014000000}"/>
    <dataValidation allowBlank="1" showInputMessage="1" showErrorMessage="1" prompt="Escriba el número del extracto en la celda de la derecha" sqref="B9" xr:uid="{00000000-0002-0000-0900-000015000000}"/>
    <dataValidation allowBlank="1" showInputMessage="1" showErrorMessage="1" prompt="Escriba la dirección de la empresa en esta celda." sqref="C4" xr:uid="{00000000-0002-0000-0900-000016000000}"/>
  </dataValidations>
  <printOptions horizontalCentered="1"/>
  <pageMargins left="0.51181102362204722" right="0.51181102362204722" top="0.59055118110236227" bottom="0.98425196850393704" header="0.11811023622047245" footer="0.51181102362204722"/>
  <pageSetup paperSize="9" scale="56" fitToHeight="0" orientation="portrait" r:id="rId1"/>
  <headerFooter differentFirst="1">
    <oddFooter>Page &amp;P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249977111117893"/>
    <pageSetUpPr fitToPage="1"/>
  </sheetPr>
  <dimension ref="B1:G22"/>
  <sheetViews>
    <sheetView showGridLines="0" workbookViewId="0">
      <selection activeCell="B8" sqref="B8"/>
    </sheetView>
  </sheetViews>
  <sheetFormatPr baseColWidth="10" defaultColWidth="10.28515625" defaultRowHeight="30" customHeight="1" x14ac:dyDescent="0.25"/>
  <cols>
    <col min="1" max="1" width="3" style="157" customWidth="1"/>
    <col min="2" max="2" width="63.85546875" style="157" customWidth="1"/>
    <col min="3" max="3" width="22.28515625" style="157" customWidth="1"/>
    <col min="4" max="4" width="11.28515625" style="157" bestFit="1" customWidth="1"/>
    <col min="5" max="16384" width="10.28515625" style="157"/>
  </cols>
  <sheetData>
    <row r="1" spans="2:7" ht="138" customHeight="1" x14ac:dyDescent="0.55000000000000004">
      <c r="B1" s="164"/>
      <c r="C1" s="227"/>
    </row>
    <row r="2" spans="2:7" ht="12.75" customHeight="1" x14ac:dyDescent="0.25">
      <c r="B2" s="157" t="s">
        <v>228</v>
      </c>
    </row>
    <row r="3" spans="2:7" ht="15" customHeight="1" x14ac:dyDescent="0.25">
      <c r="B3" s="157" t="s">
        <v>226</v>
      </c>
      <c r="C3" s="157" t="s">
        <v>137</v>
      </c>
      <c r="D3" s="162">
        <v>44562</v>
      </c>
    </row>
    <row r="4" spans="2:7" ht="15" customHeight="1" x14ac:dyDescent="0.25">
      <c r="B4" s="157" t="s">
        <v>225</v>
      </c>
      <c r="C4" s="157" t="s">
        <v>227</v>
      </c>
      <c r="D4" s="157">
        <v>159</v>
      </c>
    </row>
    <row r="5" spans="2:7" ht="30" customHeight="1" x14ac:dyDescent="0.25">
      <c r="B5" s="158" t="s">
        <v>230</v>
      </c>
      <c r="D5" s="160"/>
    </row>
    <row r="6" spans="2:7" ht="30" customHeight="1" x14ac:dyDescent="0.25">
      <c r="B6" s="159" t="s">
        <v>135</v>
      </c>
    </row>
    <row r="7" spans="2:7" ht="15" customHeight="1" x14ac:dyDescent="0.25">
      <c r="B7" s="157" t="s">
        <v>433</v>
      </c>
    </row>
    <row r="8" spans="2:7" ht="15" customHeight="1" x14ac:dyDescent="0.25">
      <c r="B8" s="157" t="s">
        <v>434</v>
      </c>
    </row>
    <row r="9" spans="2:7" ht="15" customHeight="1" x14ac:dyDescent="0.25">
      <c r="B9" s="157" t="s">
        <v>226</v>
      </c>
    </row>
    <row r="10" spans="2:7" ht="15" customHeight="1" x14ac:dyDescent="0.25">
      <c r="B10" s="157" t="s">
        <v>225</v>
      </c>
    </row>
    <row r="11" spans="2:7" ht="30" customHeight="1" x14ac:dyDescent="0.25">
      <c r="B11" s="158" t="s">
        <v>224</v>
      </c>
    </row>
    <row r="12" spans="2:7" ht="30" customHeight="1" x14ac:dyDescent="0.25">
      <c r="B12" s="257" t="s">
        <v>115</v>
      </c>
      <c r="C12" s="256" t="s">
        <v>200</v>
      </c>
    </row>
    <row r="13" spans="2:7" ht="30" customHeight="1" x14ac:dyDescent="0.25">
      <c r="B13" s="255" t="s">
        <v>229</v>
      </c>
      <c r="C13" s="254">
        <v>105.8</v>
      </c>
    </row>
    <row r="14" spans="2:7" ht="30" customHeight="1" x14ac:dyDescent="0.25">
      <c r="B14" s="258" t="s">
        <v>219</v>
      </c>
      <c r="C14" s="261">
        <f>C13</f>
        <v>105.8</v>
      </c>
      <c r="G14" s="253"/>
    </row>
    <row r="15" spans="2:7" ht="30" customHeight="1" x14ac:dyDescent="0.25">
      <c r="B15" s="258" t="s">
        <v>176</v>
      </c>
      <c r="C15" s="252">
        <f>C14*0.21</f>
        <v>22.218</v>
      </c>
    </row>
    <row r="16" spans="2:7" ht="30" customHeight="1" x14ac:dyDescent="0.25">
      <c r="B16" s="259" t="s">
        <v>14</v>
      </c>
      <c r="C16" s="260">
        <f>C14+C15</f>
        <v>128.018</v>
      </c>
    </row>
    <row r="17" spans="2:3" ht="21.6" hidden="1" customHeight="1" x14ac:dyDescent="0.25"/>
    <row r="20" spans="2:3" ht="30" customHeight="1" x14ac:dyDescent="0.25">
      <c r="B20" s="512" t="str">
        <f>"Todos los cheques se extenderán a nombre de "&amp;Company_Name&amp;"."</f>
        <v>Todos los cheques se extenderán a nombre de .</v>
      </c>
      <c r="C20" s="512"/>
    </row>
    <row r="21" spans="2:3" ht="30" customHeight="1" x14ac:dyDescent="0.25">
      <c r="B21" s="512" t="s">
        <v>223</v>
      </c>
      <c r="C21" s="512"/>
    </row>
    <row r="22" spans="2:3" ht="30" customHeight="1" x14ac:dyDescent="0.25">
      <c r="B22" s="156" t="s">
        <v>138</v>
      </c>
      <c r="C22" s="156"/>
    </row>
  </sheetData>
  <mergeCells count="2">
    <mergeCell ref="B21:C21"/>
    <mergeCell ref="B20:C20"/>
  </mergeCells>
  <dataValidations count="22">
    <dataValidation allowBlank="1" showInputMessage="1" showErrorMessage="1" prompt="Reemplace el número de días en el que vence el saldo y el porcentaje que se carga por el servicio al mes en esta celda." sqref="B21:C21" xr:uid="{00000000-0002-0000-0A00-000000000000}"/>
    <dataValidation allowBlank="1" showInputMessage="1" showErrorMessage="1" prompt="El nombre de la compañía se anexa automáticamente a esta celda." sqref="B20:C20" xr:uid="{00000000-0002-0000-0A00-000001000000}"/>
    <dataValidation allowBlank="1" showInputMessage="1" showErrorMessage="1" prompt="El importe se calcula automáticamente en esta columna, debajo de este encabezado." sqref="C12" xr:uid="{00000000-0002-0000-0A00-000002000000}"/>
    <dataValidation allowBlank="1" showInputMessage="1" showErrorMessage="1" prompt="Cree una factura de servicio con el cálculo de impuestos en esta hoja de cálculo. Escriba los detalles de la empresa y de los clientes, y los detalles del servicio en la tabla de Factura. El total a pagar se calcula automáticamente." sqref="A1" xr:uid="{00000000-0002-0000-0A00-000003000000}"/>
    <dataValidation allowBlank="1" showInputMessage="1" showErrorMessage="1" prompt="Escriba el nombre de la empresa que factura en esta celda y agregue el eslogan en la celda siguiente." sqref="B1" xr:uid="{00000000-0002-0000-0A00-000004000000}"/>
    <dataValidation allowBlank="1" showInputMessage="1" showErrorMessage="1" prompt="Escriba el lema de la empresa en esta celda y la dirección de la empresa en las celdas siguientes." sqref="B2" xr:uid="{00000000-0002-0000-0A00-000005000000}"/>
    <dataValidation allowBlank="1" showInputMessage="1" showErrorMessage="1" prompt="Escriba la dirección de la empresa que factura en esta celda." sqref="B3" xr:uid="{00000000-0002-0000-0A00-000006000000}"/>
    <dataValidation allowBlank="1" showInputMessage="1" showErrorMessage="1" prompt="Escriba la ciudad, la provincia y el código postal en esta celda." sqref="B4" xr:uid="{00000000-0002-0000-0A00-000007000000}"/>
    <dataValidation allowBlank="1" showInputMessage="1" showErrorMessage="1" prompt="Escriba el número de teléfono y fax en esta celda." sqref="B5" xr:uid="{00000000-0002-0000-0A00-000008000000}"/>
    <dataValidation allowBlank="1" showInputMessage="1" showErrorMessage="1" prompt="Escriba las descripciones en la columna con este encabezado. Use los filtros de encabezado para buscar entradas específicas." sqref="B12" xr:uid="{00000000-0002-0000-0A00-000009000000}"/>
    <dataValidation allowBlank="1" showInputMessage="1" showErrorMessage="1" prompt="Escriba la fecha de la factura en esta celda." sqref="D3" xr:uid="{00000000-0002-0000-0A00-00000A000000}"/>
    <dataValidation allowBlank="1" showInputMessage="1" showErrorMessage="1" prompt="Escriba el número de factura en esta celda." sqref="D4" xr:uid="{00000000-0002-0000-0A00-00000B000000}"/>
    <dataValidation allowBlank="1" showInputMessage="1" showErrorMessage="1" prompt="Escriba la descripción de la factura del servicio o proyecto en esta derecha." sqref="D5" xr:uid="{00000000-0002-0000-0A00-00000C000000}"/>
    <dataValidation allowBlank="1" showInputMessage="1" showErrorMessage="1" prompt="Escriba el número de teléfono del cliente en esta celda." sqref="B11" xr:uid="{00000000-0002-0000-0A00-00000D000000}"/>
    <dataValidation allowBlank="1" showInputMessage="1" showErrorMessage="1" prompt="Escriba la ciudad, el estado y el código postal del cliente en esta celda." sqref="B10" xr:uid="{00000000-0002-0000-0A00-00000E000000}"/>
    <dataValidation allowBlank="1" showInputMessage="1" showErrorMessage="1" prompt="Escriba la dirección del cliente en esta celda." sqref="B9" xr:uid="{00000000-0002-0000-0A00-00000F000000}"/>
    <dataValidation allowBlank="1" showInputMessage="1" showErrorMessage="1" prompt="Escriba el nombre de la empresa del cliente en esta celda." sqref="B8" xr:uid="{00000000-0002-0000-0A00-000010000000}"/>
    <dataValidation allowBlank="1" showInputMessage="1" showErrorMessage="1" prompt="Escriba el nombre del cliente en esta celda." sqref="B7" xr:uid="{00000000-0002-0000-0A00-000011000000}"/>
    <dataValidation allowBlank="1" showInputMessage="1" showErrorMessage="1" prompt="Escriba el nombre del cliente, el nombre de la empresa, la dirección, la ciudad, la provincia, el código postal y el número de teléfono en las siguientes celdas." sqref="B6" xr:uid="{00000000-0002-0000-0A00-000012000000}"/>
    <dataValidation allowBlank="1" showInputMessage="1" showErrorMessage="1" prompt="El importe del impuesto sobre las ventas se calcula automáticamente en esta celda." sqref="C14" xr:uid="{00000000-0002-0000-0A00-000013000000}"/>
    <dataValidation allowBlank="1" showInputMessage="1" showErrorMessage="1" prompt="Escriba otro importe del préstamo en esta celda." sqref="C15" xr:uid="{00000000-0002-0000-0A00-000014000000}"/>
    <dataValidation allowBlank="1" showInputMessage="1" showErrorMessage="1" prompt="El total a pagar se calcula automáticamente en esta celda." sqref="C16" xr:uid="{00000000-0002-0000-0A00-000015000000}"/>
  </dataValidations>
  <printOptions horizontalCentered="1"/>
  <pageMargins left="0.5" right="0.5" top="0.5" bottom="0.5" header="0.5" footer="0.5"/>
  <pageSetup paperSize="9" scale="79" fitToHeight="0" orientation="portrait" r:id="rId1"/>
  <headerFooter differentFirst="1">
    <oddFooter>Page &amp;P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pageSetUpPr autoPageBreaks="0" fitToPage="1"/>
  </sheetPr>
  <dimension ref="C1:F13"/>
  <sheetViews>
    <sheetView showGridLines="0" workbookViewId="0">
      <selection activeCell="D1" sqref="D1"/>
    </sheetView>
  </sheetViews>
  <sheetFormatPr baseColWidth="10" defaultColWidth="10.28515625" defaultRowHeight="30" customHeight="1" x14ac:dyDescent="0.25"/>
  <cols>
    <col min="1" max="2" width="7.28515625" style="237" customWidth="1"/>
    <col min="3" max="4" width="38" style="237" customWidth="1"/>
    <col min="5" max="5" width="32" style="237" customWidth="1"/>
    <col min="6" max="6" width="25.85546875" style="237" customWidth="1"/>
    <col min="7" max="7" width="3" style="237" customWidth="1"/>
    <col min="8" max="16384" width="10.28515625" style="237"/>
  </cols>
  <sheetData>
    <row r="1" spans="3:6" ht="126" customHeight="1" x14ac:dyDescent="0.25">
      <c r="C1" s="238" t="s">
        <v>216</v>
      </c>
      <c r="D1" s="249" t="s">
        <v>435</v>
      </c>
      <c r="E1" s="238" t="s">
        <v>215</v>
      </c>
      <c r="F1" s="250">
        <v>44562</v>
      </c>
    </row>
    <row r="2" spans="3:6" ht="15" x14ac:dyDescent="0.25">
      <c r="C2" s="238" t="s">
        <v>214</v>
      </c>
      <c r="D2" s="249" t="s">
        <v>133</v>
      </c>
      <c r="E2" s="238" t="s">
        <v>220</v>
      </c>
      <c r="F2" s="251">
        <v>97</v>
      </c>
    </row>
    <row r="3" spans="3:6" ht="15" x14ac:dyDescent="0.25">
      <c r="C3" s="238" t="s">
        <v>213</v>
      </c>
      <c r="D3" s="249" t="s">
        <v>180</v>
      </c>
    </row>
    <row r="4" spans="3:6" ht="15" x14ac:dyDescent="0.25">
      <c r="C4" s="238" t="s">
        <v>212</v>
      </c>
      <c r="D4" s="249" t="s">
        <v>181</v>
      </c>
    </row>
    <row r="5" spans="3:6" ht="47.25" customHeight="1" thickBot="1" x14ac:dyDescent="0.55000000000000004">
      <c r="C5" s="513" t="s">
        <v>211</v>
      </c>
      <c r="D5" s="513"/>
      <c r="E5" s="513"/>
      <c r="F5" s="513"/>
    </row>
    <row r="6" spans="3:6" ht="16.5" thickTop="1" x14ac:dyDescent="0.25">
      <c r="C6" s="514" t="s">
        <v>210</v>
      </c>
      <c r="D6" s="514"/>
      <c r="E6" s="514"/>
      <c r="F6" s="514"/>
    </row>
    <row r="7" spans="3:6" ht="15.75" x14ac:dyDescent="0.25">
      <c r="C7" s="514" t="s">
        <v>93</v>
      </c>
      <c r="D7" s="514"/>
      <c r="E7" s="514"/>
      <c r="F7" s="514"/>
    </row>
    <row r="8" spans="3:6" ht="30.75" customHeight="1" x14ac:dyDescent="0.25">
      <c r="C8" s="515" t="s">
        <v>132</v>
      </c>
      <c r="D8" s="515"/>
      <c r="E8" s="515"/>
      <c r="F8" s="515"/>
    </row>
    <row r="9" spans="3:6" s="239" customFormat="1" ht="30" customHeight="1" x14ac:dyDescent="0.25">
      <c r="C9" s="240" t="s">
        <v>115</v>
      </c>
      <c r="D9" s="240" t="s">
        <v>200</v>
      </c>
      <c r="E9" s="240" t="s">
        <v>218</v>
      </c>
      <c r="F9" s="240" t="s">
        <v>14</v>
      </c>
    </row>
    <row r="10" spans="3:6" s="241" customFormat="1" ht="30" customHeight="1" x14ac:dyDescent="0.3">
      <c r="C10" s="244" t="s">
        <v>217</v>
      </c>
      <c r="D10" s="244">
        <v>9</v>
      </c>
      <c r="E10" s="242">
        <v>65</v>
      </c>
      <c r="F10" s="242">
        <f>D10*E10</f>
        <v>585</v>
      </c>
    </row>
    <row r="11" spans="3:6" ht="30" customHeight="1" x14ac:dyDescent="0.25">
      <c r="C11" s="243"/>
      <c r="D11" s="243"/>
      <c r="E11" s="248" t="s">
        <v>219</v>
      </c>
      <c r="F11" s="245">
        <f>F10</f>
        <v>585</v>
      </c>
    </row>
    <row r="12" spans="3:6" ht="30" customHeight="1" x14ac:dyDescent="0.25">
      <c r="E12" s="248" t="s">
        <v>176</v>
      </c>
      <c r="F12" s="245">
        <f>F11*0.21</f>
        <v>122.85</v>
      </c>
    </row>
    <row r="13" spans="3:6" ht="30" customHeight="1" x14ac:dyDescent="0.3">
      <c r="E13" s="246" t="s">
        <v>14</v>
      </c>
      <c r="F13" s="247">
        <f>SUM(F11:F12)</f>
        <v>707.85</v>
      </c>
    </row>
  </sheetData>
  <mergeCells count="4">
    <mergeCell ref="C5:F5"/>
    <mergeCell ref="C6:F6"/>
    <mergeCell ref="C8:F8"/>
    <mergeCell ref="C7:F7"/>
  </mergeCells>
  <dataValidations count="15">
    <dataValidation allowBlank="1" showInputMessage="1" showErrorMessage="1" prompt="Escriba la ciudad, el estado o la provincia y el código postal en esta celda, y los detalles de facturación en la tabla siguiente" sqref="C8:F8" xr:uid="{00000000-0002-0000-0B00-000000000000}"/>
    <dataValidation allowBlank="1" showInputMessage="1" showErrorMessage="1" prompt="Escriba la dirección del cliente en esta celda" sqref="C7:F7" xr:uid="{00000000-0002-0000-0B00-000001000000}"/>
    <dataValidation allowBlank="1" showInputMessage="1" showErrorMessage="1" prompt="Escriba el nombre del cliente en esta celda." sqref="C6:F6" xr:uid="{00000000-0002-0000-0B00-000002000000}"/>
    <dataValidation allowBlank="1" showInputMessage="1" showErrorMessage="1" prompt="El título de la hoja de cálculo se encuentra en esta celda" sqref="C5:F5" xr:uid="{00000000-0002-0000-0B00-000003000000}"/>
    <dataValidation allowBlank="1" showInputMessage="1" showErrorMessage="1" prompt="Cree un extracto de facturación de cuenta en esta hoja de cálculo. Escriba el extracto y la fecha de vencimiento en las celdas F1 y F2, y los detalles de la empresa en las celdas de la derecha. El saldo de cuenta se calcula automáticamente" sqref="A1:B1" xr:uid="{00000000-0002-0000-0B00-000004000000}"/>
    <dataValidation allowBlank="1" showInputMessage="1" showErrorMessage="1" prompt="El saldo de la cuenta se calcula automáticamente en la columna con este encabezado" sqref="E9:F9" xr:uid="{00000000-0002-0000-0B00-000005000000}"/>
    <dataValidation allowBlank="1" showInputMessage="1" showErrorMessage="1" prompt="Escriba la descripción en la columna con este encabezado" sqref="C9:D9" xr:uid="{00000000-0002-0000-0B00-000006000000}"/>
    <dataValidation allowBlank="1" showInputMessage="1" showErrorMessage="1" prompt="Escriba la fecha de vencimiento en esta celda" sqref="F2" xr:uid="{00000000-0002-0000-0B00-000007000000}"/>
    <dataValidation allowBlank="1" showInputMessage="1" showErrorMessage="1" prompt="Escriba la fecha de vencimiento en la celda de la derecha" sqref="E2" xr:uid="{00000000-0002-0000-0B00-000008000000}"/>
    <dataValidation allowBlank="1" showInputMessage="1" showErrorMessage="1" prompt="Escriba la fecha del extracto en esta celda" sqref="F1" xr:uid="{00000000-0002-0000-0B00-000009000000}"/>
    <dataValidation allowBlank="1" showInputMessage="1" showErrorMessage="1" prompt="Escriba la fecha del extracto en la celda de la derecha" sqref="E1" xr:uid="{00000000-0002-0000-0B00-00000A000000}"/>
    <dataValidation allowBlank="1" showInputMessage="1" showErrorMessage="1" prompt="Escriba el número de teléfono en la celda de la derecha" sqref="C4:D4" xr:uid="{00000000-0002-0000-0B00-00000B000000}"/>
    <dataValidation allowBlank="1" showInputMessage="1" showErrorMessage="1" prompt="Escriba la ciudad, el estado o la provincia y el código postal en la celda de la derecha" sqref="C3:D3" xr:uid="{00000000-0002-0000-0B00-00000C000000}"/>
    <dataValidation allowBlank="1" showInputMessage="1" showErrorMessage="1" prompt="Escriba la dirección de la empresa en la celda de la derecha" sqref="C2:D2" xr:uid="{00000000-0002-0000-0B00-00000D000000}"/>
    <dataValidation allowBlank="1" showInputMessage="1" showErrorMessage="1" prompt="Escriba el nombre de la empresa en la celda de la derecha" sqref="C1:D1" xr:uid="{00000000-0002-0000-0B00-00000E000000}"/>
  </dataValidations>
  <printOptions horizontalCentered="1"/>
  <pageMargins left="0.4" right="0.4" top="0.4" bottom="0.6" header="0.3" footer="0.3"/>
  <pageSetup paperSize="9" fitToHeight="0" orientation="portrait" r:id="rId1"/>
  <headerFooter differentFirst="1">
    <oddFooter>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pageSetUpPr fitToPage="1"/>
  </sheetPr>
  <dimension ref="B1:F43"/>
  <sheetViews>
    <sheetView showGridLines="0" topLeftCell="A7" zoomScaleNormal="100" workbookViewId="0">
      <selection activeCell="I23" sqref="I23"/>
    </sheetView>
  </sheetViews>
  <sheetFormatPr baseColWidth="10" defaultColWidth="9.140625" defaultRowHeight="12.75" x14ac:dyDescent="0.2"/>
  <cols>
    <col min="1" max="1" width="9.140625" style="14"/>
    <col min="2" max="2" width="2.7109375" style="15" customWidth="1"/>
    <col min="3" max="3" width="43" style="14" customWidth="1"/>
    <col min="4" max="4" width="26.85546875" style="14" customWidth="1"/>
    <col min="5" max="5" width="22.42578125" style="14" customWidth="1"/>
    <col min="6" max="6" width="14.28515625" style="14" customWidth="1"/>
    <col min="7" max="7" width="2.7109375" style="14" customWidth="1"/>
    <col min="8" max="16384" width="9.140625" style="14"/>
  </cols>
  <sheetData>
    <row r="1" spans="2:6" ht="13.5" customHeight="1" x14ac:dyDescent="0.2">
      <c r="B1" s="15" t="s">
        <v>67</v>
      </c>
    </row>
    <row r="2" spans="2:6" ht="81" customHeight="1" thickBot="1" x14ac:dyDescent="0.3">
      <c r="B2" s="15" t="s">
        <v>66</v>
      </c>
      <c r="C2" s="516" t="s">
        <v>65</v>
      </c>
      <c r="D2" s="516"/>
      <c r="E2" s="517" t="s">
        <v>64</v>
      </c>
      <c r="F2" s="517"/>
    </row>
    <row r="3" spans="2:6" ht="37.5" customHeight="1" x14ac:dyDescent="0.25">
      <c r="B3" s="15" t="s">
        <v>63</v>
      </c>
      <c r="C3" s="518" t="s">
        <v>62</v>
      </c>
      <c r="D3" s="518"/>
      <c r="E3" s="61" t="s">
        <v>61</v>
      </c>
      <c r="F3" s="60">
        <v>44562</v>
      </c>
    </row>
    <row r="4" spans="2:6" ht="14.1" customHeight="1" x14ac:dyDescent="0.2">
      <c r="B4" s="15" t="s">
        <v>60</v>
      </c>
      <c r="C4" s="519"/>
      <c r="D4" s="519"/>
      <c r="E4" s="59" t="s">
        <v>59</v>
      </c>
      <c r="F4" s="58" t="s">
        <v>58</v>
      </c>
    </row>
    <row r="5" spans="2:6" s="47" customFormat="1" ht="27.95" customHeight="1" thickBot="1" x14ac:dyDescent="0.3">
      <c r="B5" s="20" t="s">
        <v>57</v>
      </c>
      <c r="C5" s="57"/>
      <c r="D5" s="57"/>
      <c r="E5" s="56"/>
      <c r="F5" s="49"/>
    </row>
    <row r="6" spans="2:6" s="51" customFormat="1" ht="27.95" customHeight="1" x14ac:dyDescent="0.2">
      <c r="B6" s="20" t="s">
        <v>56</v>
      </c>
      <c r="C6" s="55" t="s">
        <v>55</v>
      </c>
      <c r="D6" s="52" t="s">
        <v>436</v>
      </c>
      <c r="E6" s="47"/>
      <c r="F6" s="47"/>
    </row>
    <row r="7" spans="2:6" s="51" customFormat="1" ht="14.1" customHeight="1" x14ac:dyDescent="0.2">
      <c r="B7" s="53"/>
      <c r="C7" s="54"/>
      <c r="D7" s="52" t="s">
        <v>437</v>
      </c>
      <c r="E7" s="47"/>
      <c r="F7" s="47"/>
    </row>
    <row r="8" spans="2:6" s="51" customFormat="1" ht="14.1" customHeight="1" x14ac:dyDescent="0.2">
      <c r="B8" s="53"/>
      <c r="D8" s="52" t="s">
        <v>54</v>
      </c>
      <c r="E8" s="47"/>
      <c r="F8" s="47"/>
    </row>
    <row r="9" spans="2:6" s="51" customFormat="1" ht="14.1" customHeight="1" x14ac:dyDescent="0.2">
      <c r="B9" s="53"/>
      <c r="D9" s="52" t="s">
        <v>53</v>
      </c>
      <c r="E9" s="47"/>
      <c r="F9" s="47"/>
    </row>
    <row r="10" spans="2:6" s="47" customFormat="1" ht="36.6" customHeight="1" thickBot="1" x14ac:dyDescent="0.3">
      <c r="B10" s="50"/>
      <c r="C10" s="48"/>
      <c r="D10" s="49" t="s">
        <v>52</v>
      </c>
      <c r="E10" s="48"/>
      <c r="F10" s="48"/>
    </row>
    <row r="11" spans="2:6" s="42" customFormat="1" ht="22.5" customHeight="1" x14ac:dyDescent="0.2">
      <c r="B11" s="46"/>
      <c r="C11" s="45"/>
      <c r="D11" s="44"/>
      <c r="E11" s="44"/>
      <c r="F11" s="43"/>
    </row>
    <row r="12" spans="2:6" ht="15" customHeight="1" x14ac:dyDescent="0.2">
      <c r="B12" s="20" t="s">
        <v>51</v>
      </c>
    </row>
    <row r="13" spans="2:6" ht="15" customHeight="1" x14ac:dyDescent="0.2"/>
    <row r="14" spans="2:6" ht="15" customHeight="1" x14ac:dyDescent="0.2"/>
    <row r="15" spans="2:6" s="38" customFormat="1" ht="21.75" customHeight="1" x14ac:dyDescent="0.25">
      <c r="B15" s="41"/>
      <c r="C15" s="40" t="s">
        <v>50</v>
      </c>
      <c r="D15" s="40" t="s">
        <v>49</v>
      </c>
      <c r="E15" s="39" t="s">
        <v>48</v>
      </c>
      <c r="F15" s="39" t="s">
        <v>47</v>
      </c>
    </row>
    <row r="16" spans="2:6" ht="15" customHeight="1" x14ac:dyDescent="0.2">
      <c r="C16" s="36" t="s">
        <v>46</v>
      </c>
      <c r="D16" s="37">
        <v>40.049999999999997</v>
      </c>
      <c r="E16" s="34"/>
      <c r="F16" s="33"/>
    </row>
    <row r="17" spans="3:6" ht="15" customHeight="1" x14ac:dyDescent="0.2">
      <c r="C17" s="36" t="s">
        <v>45</v>
      </c>
      <c r="D17" s="37">
        <v>30.7</v>
      </c>
      <c r="E17" s="34"/>
      <c r="F17" s="33"/>
    </row>
    <row r="18" spans="3:6" ht="15" customHeight="1" x14ac:dyDescent="0.2">
      <c r="C18" s="36" t="s">
        <v>44</v>
      </c>
      <c r="D18" s="37">
        <v>20</v>
      </c>
      <c r="E18" s="34"/>
      <c r="F18" s="33"/>
    </row>
    <row r="19" spans="3:6" ht="15" customHeight="1" x14ac:dyDescent="0.2">
      <c r="C19" s="36" t="s">
        <v>43</v>
      </c>
      <c r="D19" s="37">
        <v>12.65</v>
      </c>
      <c r="E19" s="34"/>
      <c r="F19" s="33"/>
    </row>
    <row r="20" spans="3:6" ht="15" customHeight="1" thickBot="1" x14ac:dyDescent="0.25">
      <c r="C20" s="36"/>
      <c r="D20" s="35"/>
      <c r="E20" s="34"/>
      <c r="F20" s="33"/>
    </row>
    <row r="21" spans="3:6" ht="15" customHeight="1" thickTop="1" x14ac:dyDescent="0.2">
      <c r="C21" s="32" t="s">
        <v>219</v>
      </c>
      <c r="D21" s="31">
        <f>SUM(D16:D19)</f>
        <v>103.4</v>
      </c>
      <c r="E21" s="30" t="s">
        <v>42</v>
      </c>
      <c r="F21" s="29">
        <f>(Tabla1[[#This Row],[IMPORTE SIN IVA (10%)]]*0.1)</f>
        <v>10.340000000000002</v>
      </c>
    </row>
    <row r="22" spans="3:6" ht="15" customHeight="1" thickBot="1" x14ac:dyDescent="0.25">
      <c r="C22" s="28"/>
      <c r="D22" s="27"/>
    </row>
    <row r="23" spans="3:6" ht="15" customHeight="1" thickTop="1" x14ac:dyDescent="0.25">
      <c r="C23" s="26" t="s">
        <v>41</v>
      </c>
      <c r="D23" s="25">
        <f>SUM(D21,F21)</f>
        <v>113.74000000000001</v>
      </c>
    </row>
    <row r="24" spans="3:6" ht="15" customHeight="1" x14ac:dyDescent="0.2"/>
    <row r="25" spans="3:6" ht="15" customHeight="1" x14ac:dyDescent="0.2">
      <c r="C25" s="24"/>
      <c r="D25" s="24"/>
    </row>
    <row r="26" spans="3:6" ht="15" customHeight="1" x14ac:dyDescent="0.2">
      <c r="D26" s="17"/>
    </row>
    <row r="27" spans="3:6" ht="15" customHeight="1" x14ac:dyDescent="0.2"/>
    <row r="28" spans="3:6" ht="15" customHeight="1" x14ac:dyDescent="0.2">
      <c r="C28" s="16"/>
      <c r="D28" s="16"/>
    </row>
    <row r="29" spans="3:6" ht="15" customHeight="1" x14ac:dyDescent="0.2"/>
    <row r="30" spans="3:6" ht="15" customHeight="1" x14ac:dyDescent="0.2"/>
    <row r="31" spans="3:6" ht="15" customHeight="1" x14ac:dyDescent="0.2"/>
    <row r="32" spans="3:6" ht="15" customHeight="1" x14ac:dyDescent="0.2"/>
    <row r="33" spans="2:6" ht="15" customHeight="1" x14ac:dyDescent="0.2"/>
    <row r="34" spans="2:6" ht="15" customHeight="1" x14ac:dyDescent="0.2"/>
    <row r="35" spans="2:6" ht="15" customHeight="1" thickBot="1" x14ac:dyDescent="0.25"/>
    <row r="36" spans="2:6" ht="15" customHeight="1" x14ac:dyDescent="0.2">
      <c r="B36" s="20" t="s">
        <v>40</v>
      </c>
      <c r="E36" s="23"/>
      <c r="F36" s="22"/>
    </row>
    <row r="37" spans="2:6" s="21" customFormat="1" ht="24.75" customHeight="1" x14ac:dyDescent="0.2">
      <c r="B37" s="20" t="s">
        <v>39</v>
      </c>
      <c r="C37" s="14"/>
      <c r="D37" s="14"/>
    </row>
    <row r="38" spans="2:6" ht="15.95" customHeight="1" x14ac:dyDescent="0.2">
      <c r="B38" s="20" t="s">
        <v>38</v>
      </c>
    </row>
    <row r="39" spans="2:6" ht="15.95" customHeight="1" x14ac:dyDescent="0.2">
      <c r="E39" s="19"/>
      <c r="F39" s="19"/>
    </row>
    <row r="40" spans="2:6" ht="11.25" customHeight="1" x14ac:dyDescent="0.2">
      <c r="E40" s="18"/>
      <c r="F40" s="18"/>
    </row>
    <row r="41" spans="2:6" x14ac:dyDescent="0.2">
      <c r="E41" s="17"/>
    </row>
    <row r="43" spans="2:6" x14ac:dyDescent="0.2">
      <c r="E43" s="16"/>
      <c r="F43" s="16"/>
    </row>
  </sheetData>
  <mergeCells count="4">
    <mergeCell ref="C2:D2"/>
    <mergeCell ref="E2:F2"/>
    <mergeCell ref="C3:D3"/>
    <mergeCell ref="C4:D4"/>
  </mergeCells>
  <printOptions horizontalCentered="1"/>
  <pageMargins left="0.25" right="0.25" top="0.75" bottom="0.75" header="0.3" footer="0.3"/>
  <pageSetup paperSize="9" scale="77" orientation="portrait" r:id="rId1"/>
  <headerFooter alignWithMargins="0"/>
  <ignoredErrors>
    <ignoredError sqref="D16:D21" calculatedColumn="1"/>
  </ignoredErrors>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4:F28"/>
  <sheetViews>
    <sheetView showGridLines="0" showZeros="0" workbookViewId="0">
      <selection activeCell="G18" sqref="G18"/>
    </sheetView>
  </sheetViews>
  <sheetFormatPr baseColWidth="10" defaultRowHeight="15" x14ac:dyDescent="0.25"/>
  <cols>
    <col min="1" max="1" width="5.5703125" customWidth="1"/>
    <col min="2" max="2" width="34.5703125" bestFit="1" customWidth="1"/>
    <col min="3" max="3" width="14.85546875" bestFit="1" customWidth="1"/>
    <col min="4" max="4" width="26.140625" bestFit="1" customWidth="1"/>
    <col min="5" max="5" width="11" bestFit="1" customWidth="1"/>
    <col min="6" max="6" width="14.85546875" bestFit="1" customWidth="1"/>
  </cols>
  <sheetData>
    <row r="4" spans="2:6" s="361" customFormat="1" ht="18.75" x14ac:dyDescent="0.25">
      <c r="B4" s="362" t="s">
        <v>353</v>
      </c>
      <c r="C4" s="362" t="s">
        <v>352</v>
      </c>
      <c r="D4" s="362" t="s">
        <v>351</v>
      </c>
      <c r="E4" s="362" t="s">
        <v>350</v>
      </c>
      <c r="F4" s="362" t="s">
        <v>349</v>
      </c>
    </row>
    <row r="5" spans="2:6" ht="15.75" x14ac:dyDescent="0.25">
      <c r="B5" s="346" t="str">
        <f>Nóminas!$P$80&amp;" (socia)"</f>
        <v>Laura García Peña (socia)</v>
      </c>
      <c r="C5" s="360">
        <f>Nóminas!$T$115</f>
        <v>1725</v>
      </c>
      <c r="D5" s="359">
        <f>Nóminas!$P$124</f>
        <v>0</v>
      </c>
      <c r="E5" s="359">
        <f>Nóminas!$P$125</f>
        <v>100</v>
      </c>
      <c r="F5" s="359">
        <f>$C$5-$E$5</f>
        <v>1625</v>
      </c>
    </row>
    <row r="6" spans="2:6" ht="15.75" x14ac:dyDescent="0.25">
      <c r="B6" s="343" t="str">
        <f>Nóminas!$P$2&amp;" (socia)"</f>
        <v>Brenda Fernández Sánchez (socia)</v>
      </c>
      <c r="C6" s="358">
        <f>Nóminas!$T$37</f>
        <v>3000.5</v>
      </c>
      <c r="D6" s="357">
        <f>Nóminas!$P$46</f>
        <v>0</v>
      </c>
      <c r="E6" s="357">
        <f>Nóminas!$P$203</f>
        <v>100</v>
      </c>
      <c r="F6" s="357">
        <f>$C$6-E6</f>
        <v>2900.5</v>
      </c>
    </row>
    <row r="7" spans="2:6" ht="15.75" x14ac:dyDescent="0.25">
      <c r="B7" s="343" t="str">
        <f>Nóminas!$P$158&amp;" (trabajador)"</f>
        <v>Mar López Pérez (trabajador)</v>
      </c>
      <c r="C7" s="358">
        <f>Nóminas!$T$193</f>
        <v>1495</v>
      </c>
      <c r="D7" s="357">
        <f>Nóminas!$P$202</f>
        <v>94.932500000000005</v>
      </c>
      <c r="E7" s="357">
        <f>Nóminas!$P$283</f>
        <v>100</v>
      </c>
      <c r="F7" s="357">
        <f>C7-D7-E7</f>
        <v>1300.0675000000001</v>
      </c>
    </row>
    <row r="8" spans="2:6" ht="15.75" x14ac:dyDescent="0.25">
      <c r="B8" s="343" t="str">
        <f>Nóminas!$P$238&amp;" (trabajador)"</f>
        <v>Marcos Rodríguez López (trabajador)</v>
      </c>
      <c r="C8" s="358">
        <f>Nóminas!$T$273</f>
        <v>1470</v>
      </c>
      <c r="D8" s="357">
        <f>Nóminas!$P$282</f>
        <v>93.344999999999999</v>
      </c>
      <c r="E8" s="357">
        <f>Nóminas!$P$283</f>
        <v>100</v>
      </c>
      <c r="F8" s="357">
        <f t="shared" ref="F8" si="0">C8-D8-E8</f>
        <v>1276.655</v>
      </c>
    </row>
    <row r="9" spans="2:6" ht="15.75" x14ac:dyDescent="0.25">
      <c r="B9" s="340"/>
    </row>
    <row r="10" spans="2:6" ht="16.5" x14ac:dyDescent="0.25">
      <c r="B10" s="339" t="s">
        <v>14</v>
      </c>
      <c r="C10" s="356">
        <f>SUM(C5:C8)</f>
        <v>7690.5</v>
      </c>
      <c r="D10" s="355">
        <f>SUM(D7:D8)</f>
        <v>188.2775</v>
      </c>
      <c r="E10" s="355">
        <f>SUM(E5:E8)</f>
        <v>400</v>
      </c>
      <c r="F10" s="355">
        <f>SUM(F5:F8)</f>
        <v>7102.2224999999999</v>
      </c>
    </row>
    <row r="12" spans="2:6" ht="23.25" customHeight="1" x14ac:dyDescent="0.25"/>
    <row r="13" spans="2:6" ht="16.5" x14ac:dyDescent="0.25">
      <c r="B13" s="571" t="s">
        <v>348</v>
      </c>
      <c r="C13" s="571"/>
      <c r="D13" s="571"/>
      <c r="E13" s="571"/>
    </row>
    <row r="14" spans="2:6" s="353" customFormat="1" ht="15.75" x14ac:dyDescent="0.25">
      <c r="B14" s="354" t="s">
        <v>347</v>
      </c>
      <c r="C14" s="354" t="s">
        <v>346</v>
      </c>
      <c r="D14" s="354" t="s">
        <v>489</v>
      </c>
      <c r="E14" s="354" t="s">
        <v>344</v>
      </c>
    </row>
    <row r="15" spans="2:6" ht="15.75" x14ac:dyDescent="0.25">
      <c r="B15" s="346" t="str">
        <f>Nóminas!$P$80&amp;" (socia)"</f>
        <v>Laura García Peña (socia)</v>
      </c>
      <c r="C15" s="352">
        <f>Nóminas!$R$152</f>
        <v>192.40208333333334</v>
      </c>
      <c r="D15" s="351">
        <f>Nóminas!$P$124</f>
        <v>0</v>
      </c>
      <c r="E15" s="344">
        <f>SUM(C15,D15)</f>
        <v>192.40208333333334</v>
      </c>
    </row>
    <row r="16" spans="2:6" ht="15.75" x14ac:dyDescent="0.25">
      <c r="B16" s="343" t="str">
        <f>Nóminas!$P$2&amp;" (socia)"</f>
        <v>Brenda Fernández Sánchez (socia)</v>
      </c>
      <c r="C16" s="349">
        <f>Nóminas!$R$74</f>
        <v>331.02555833333332</v>
      </c>
      <c r="D16" s="350">
        <f>Nóminas!$P$46</f>
        <v>0</v>
      </c>
      <c r="E16" s="341">
        <f>SUM(C16,D16)</f>
        <v>331.02555833333332</v>
      </c>
    </row>
    <row r="17" spans="2:5" ht="15.75" x14ac:dyDescent="0.25">
      <c r="B17" s="343" t="str">
        <f>Nóminas!$P$158&amp;" (trabajador)"</f>
        <v>Mar López Pérez (trabajador)</v>
      </c>
      <c r="C17" s="349">
        <f>Nóminas!$R$230</f>
        <v>169.02158333333333</v>
      </c>
      <c r="D17" s="341">
        <f>D7</f>
        <v>94.932500000000005</v>
      </c>
      <c r="E17" s="341">
        <f>SUM(C17,D17)</f>
        <v>263.9540833333333</v>
      </c>
    </row>
    <row r="18" spans="2:5" ht="15.75" x14ac:dyDescent="0.25">
      <c r="B18" s="343" t="str">
        <f>Nóminas!$P$238&amp;" (trabajador)"</f>
        <v>Marcos Rodríguez López (trabajador)</v>
      </c>
      <c r="C18" s="349">
        <f>Nóminas!$R$310</f>
        <v>168.61283333333333</v>
      </c>
      <c r="D18" s="341">
        <f>D8</f>
        <v>93.344999999999999</v>
      </c>
      <c r="E18" s="341">
        <f>SUM(C18,D18)</f>
        <v>261.95783333333333</v>
      </c>
    </row>
    <row r="19" spans="2:5" ht="15.75" x14ac:dyDescent="0.25">
      <c r="B19" s="340"/>
    </row>
    <row r="20" spans="2:5" ht="16.5" x14ac:dyDescent="0.25">
      <c r="B20" s="339" t="s">
        <v>14</v>
      </c>
      <c r="C20" s="445">
        <f>SUM(C15:C18)</f>
        <v>861.06205833333331</v>
      </c>
      <c r="D20" s="348">
        <f>SUM(D15:D18)</f>
        <v>188.2775</v>
      </c>
      <c r="E20" s="348">
        <f>SUM(E15:E18)</f>
        <v>1049.3395583333333</v>
      </c>
    </row>
    <row r="23" spans="2:5" ht="16.5" x14ac:dyDescent="0.25">
      <c r="B23" s="563" t="s">
        <v>343</v>
      </c>
      <c r="C23" s="563"/>
      <c r="D23" s="563"/>
    </row>
    <row r="24" spans="2:5" ht="15.75" x14ac:dyDescent="0.25">
      <c r="B24" s="347" t="s">
        <v>342</v>
      </c>
      <c r="C24" s="347" t="s">
        <v>341</v>
      </c>
      <c r="D24" s="347" t="s">
        <v>340</v>
      </c>
    </row>
    <row r="25" spans="2:5" ht="15.75" x14ac:dyDescent="0.25">
      <c r="B25" s="346" t="str">
        <f>Nóminas!$P$80&amp;" (socia)"</f>
        <v>Laura García Peña (socia)</v>
      </c>
      <c r="C25" s="345" t="s">
        <v>339</v>
      </c>
      <c r="D25" s="344">
        <f>C15</f>
        <v>192.40208333333334</v>
      </c>
    </row>
    <row r="26" spans="2:5" ht="15.75" x14ac:dyDescent="0.25">
      <c r="B26" s="343" t="str">
        <f>Nóminas!$P$2&amp;" (socia)"</f>
        <v>Brenda Fernández Sánchez (socia)</v>
      </c>
      <c r="C26" s="342" t="s">
        <v>339</v>
      </c>
      <c r="D26" s="341">
        <f>C16</f>
        <v>331.02555833333332</v>
      </c>
    </row>
    <row r="27" spans="2:5" ht="15.75" x14ac:dyDescent="0.25">
      <c r="B27" s="340"/>
    </row>
    <row r="28" spans="2:5" ht="16.5" x14ac:dyDescent="0.25">
      <c r="B28" s="339" t="s">
        <v>14</v>
      </c>
      <c r="C28" s="338">
        <f>SUM(D25:D26)</f>
        <v>523.42764166666666</v>
      </c>
    </row>
  </sheetData>
  <mergeCells count="2">
    <mergeCell ref="B13:E13"/>
    <mergeCell ref="B23:D23"/>
  </mergeCells>
  <pageMargins left="0.25" right="0.25" top="0.75" bottom="0.75" header="0.3" footer="0.3"/>
  <pageSetup paperSize="1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pageSetUpPr autoPageBreaks="0" fitToPage="1"/>
  </sheetPr>
  <dimension ref="A1:G41"/>
  <sheetViews>
    <sheetView showGridLines="0" topLeftCell="A28" zoomScaleNormal="100" workbookViewId="0">
      <selection activeCell="G40" sqref="G40"/>
    </sheetView>
  </sheetViews>
  <sheetFormatPr baseColWidth="10" defaultColWidth="10.28515625" defaultRowHeight="30" customHeight="1" x14ac:dyDescent="0.25"/>
  <cols>
    <col min="1" max="1" width="3" style="62" customWidth="1"/>
    <col min="2" max="2" width="57" style="62" customWidth="1"/>
    <col min="3" max="4" width="17.140625" style="62" customWidth="1"/>
    <col min="5" max="5" width="12.85546875" style="62" customWidth="1"/>
    <col min="6" max="16384" width="10.28515625" style="62"/>
  </cols>
  <sheetData>
    <row r="1" spans="1:5" ht="60" customHeight="1" x14ac:dyDescent="0.25">
      <c r="A1" s="62" t="s">
        <v>105</v>
      </c>
      <c r="B1" s="520" t="s">
        <v>104</v>
      </c>
      <c r="C1" s="520"/>
      <c r="D1" s="520"/>
    </row>
    <row r="2" spans="1:5" ht="21" customHeight="1" x14ac:dyDescent="0.25">
      <c r="B2" s="84"/>
      <c r="C2" s="84"/>
    </row>
    <row r="3" spans="1:5" ht="24.95" customHeight="1" x14ac:dyDescent="0.25">
      <c r="B3" s="83"/>
      <c r="C3" s="83"/>
    </row>
    <row r="4" spans="1:5" ht="18" customHeight="1" x14ac:dyDescent="0.25">
      <c r="B4" s="62" t="s">
        <v>103</v>
      </c>
      <c r="C4" s="80" t="s">
        <v>102</v>
      </c>
      <c r="D4" s="82">
        <v>102</v>
      </c>
    </row>
    <row r="5" spans="1:5" ht="18" customHeight="1" x14ac:dyDescent="0.25">
      <c r="B5" s="62" t="s">
        <v>101</v>
      </c>
      <c r="C5" s="80" t="s">
        <v>100</v>
      </c>
      <c r="D5" s="81">
        <v>44562</v>
      </c>
    </row>
    <row r="6" spans="1:5" ht="18" customHeight="1" x14ac:dyDescent="0.25">
      <c r="B6" s="62" t="s">
        <v>99</v>
      </c>
      <c r="C6" s="80" t="s">
        <v>98</v>
      </c>
      <c r="D6" s="62" t="s">
        <v>97</v>
      </c>
    </row>
    <row r="7" spans="1:5" ht="18" customHeight="1" x14ac:dyDescent="0.25">
      <c r="B7" s="62" t="s">
        <v>96</v>
      </c>
      <c r="D7" s="78"/>
    </row>
    <row r="8" spans="1:5" ht="30" customHeight="1" x14ac:dyDescent="0.25">
      <c r="B8" s="78"/>
    </row>
    <row r="9" spans="1:5" ht="15" customHeight="1" x14ac:dyDescent="0.25">
      <c r="B9" s="77"/>
      <c r="C9" s="78" t="s">
        <v>95</v>
      </c>
    </row>
    <row r="10" spans="1:5" ht="18" customHeight="1" x14ac:dyDescent="0.25">
      <c r="B10" s="77"/>
      <c r="C10" s="77" t="s">
        <v>94</v>
      </c>
      <c r="D10" s="62" t="s">
        <v>435</v>
      </c>
    </row>
    <row r="11" spans="1:5" ht="18" customHeight="1" x14ac:dyDescent="0.25">
      <c r="B11" s="77"/>
      <c r="C11" s="77" t="s">
        <v>438</v>
      </c>
    </row>
    <row r="12" spans="1:5" ht="18" customHeight="1" x14ac:dyDescent="0.25">
      <c r="B12" s="77"/>
      <c r="C12" s="77" t="s">
        <v>93</v>
      </c>
      <c r="D12" s="62" t="s">
        <v>92</v>
      </c>
    </row>
    <row r="13" spans="1:5" ht="18" customHeight="1" x14ac:dyDescent="0.25">
      <c r="B13" s="77"/>
      <c r="C13" s="79" t="s">
        <v>91</v>
      </c>
      <c r="E13" s="62" t="s">
        <v>90</v>
      </c>
    </row>
    <row r="14" spans="1:5" ht="30" customHeight="1" x14ac:dyDescent="0.25">
      <c r="B14" s="78"/>
      <c r="C14" s="77" t="s">
        <v>89</v>
      </c>
      <c r="D14" s="62" t="s">
        <v>88</v>
      </c>
    </row>
    <row r="15" spans="1:5" ht="18" customHeight="1" x14ac:dyDescent="0.25">
      <c r="B15" s="76" t="s">
        <v>87</v>
      </c>
      <c r="C15" s="76" t="s">
        <v>86</v>
      </c>
      <c r="D15" s="75" t="s">
        <v>85</v>
      </c>
      <c r="E15" s="75" t="s">
        <v>14</v>
      </c>
    </row>
    <row r="16" spans="1:5" ht="30" customHeight="1" x14ac:dyDescent="0.25">
      <c r="B16" s="74" t="s">
        <v>84</v>
      </c>
      <c r="C16" s="73">
        <v>3</v>
      </c>
      <c r="D16" s="72">
        <v>5.9</v>
      </c>
      <c r="E16" s="71">
        <f>Factura[[#This Row],[UNIDADES]]*Factura[[#This Row],[P.Unitario]]</f>
        <v>17.700000000000003</v>
      </c>
    </row>
    <row r="17" spans="2:5" ht="30" customHeight="1" x14ac:dyDescent="0.25">
      <c r="B17" s="70" t="s">
        <v>441</v>
      </c>
      <c r="C17" s="69">
        <v>4</v>
      </c>
      <c r="D17" s="68">
        <v>105</v>
      </c>
      <c r="E17" s="67">
        <f>Factura[[#This Row],[UNIDADES]]*Factura[[#This Row],[P.Unitario]]</f>
        <v>420</v>
      </c>
    </row>
    <row r="18" spans="2:5" ht="30" customHeight="1" x14ac:dyDescent="0.25">
      <c r="B18" s="74" t="s">
        <v>442</v>
      </c>
      <c r="C18" s="73">
        <v>7</v>
      </c>
      <c r="D18" s="72">
        <v>6</v>
      </c>
      <c r="E18" s="71">
        <f>Factura[[#This Row],[UNIDADES]]*Factura[[#This Row],[P.Unitario]]</f>
        <v>42</v>
      </c>
    </row>
    <row r="19" spans="2:5" ht="30" customHeight="1" x14ac:dyDescent="0.25">
      <c r="B19" s="74" t="s">
        <v>83</v>
      </c>
      <c r="C19" s="73">
        <v>2</v>
      </c>
      <c r="D19" s="72">
        <v>20</v>
      </c>
      <c r="E19" s="71">
        <f>Factura[[#This Row],[UNIDADES]]*Factura[[#This Row],[P.Unitario]]</f>
        <v>40</v>
      </c>
    </row>
    <row r="20" spans="2:5" ht="30" customHeight="1" x14ac:dyDescent="0.25">
      <c r="B20" s="70" t="s">
        <v>82</v>
      </c>
      <c r="C20" s="69">
        <v>2</v>
      </c>
      <c r="D20" s="68">
        <v>22</v>
      </c>
      <c r="E20" s="67">
        <f>Factura[[#This Row],[UNIDADES]]*Factura[[#This Row],[P.Unitario]]</f>
        <v>44</v>
      </c>
    </row>
    <row r="21" spans="2:5" ht="30" customHeight="1" x14ac:dyDescent="0.25">
      <c r="B21" s="74" t="s">
        <v>440</v>
      </c>
      <c r="C21" s="73">
        <v>1</v>
      </c>
      <c r="D21" s="72">
        <v>85</v>
      </c>
      <c r="E21" s="71">
        <f>Factura[[#This Row],[UNIDADES]]*Factura[[#This Row],[P.Unitario]]</f>
        <v>85</v>
      </c>
    </row>
    <row r="22" spans="2:5" ht="30" customHeight="1" x14ac:dyDescent="0.25">
      <c r="B22" s="70" t="s">
        <v>444</v>
      </c>
      <c r="C22" s="69">
        <v>1</v>
      </c>
      <c r="D22" s="68">
        <v>40</v>
      </c>
      <c r="E22" s="67">
        <f>Factura[[#This Row],[UNIDADES]]*Factura[[#This Row],[P.Unitario]]</f>
        <v>40</v>
      </c>
    </row>
    <row r="23" spans="2:5" ht="30" customHeight="1" x14ac:dyDescent="0.25">
      <c r="B23" s="74" t="s">
        <v>81</v>
      </c>
      <c r="C23" s="73">
        <v>2</v>
      </c>
      <c r="D23" s="72">
        <v>37</v>
      </c>
      <c r="E23" s="71">
        <f>Factura[[#This Row],[UNIDADES]]*Factura[[#This Row],[P.Unitario]]</f>
        <v>74</v>
      </c>
    </row>
    <row r="24" spans="2:5" ht="30" customHeight="1" x14ac:dyDescent="0.25">
      <c r="B24" s="70" t="s">
        <v>80</v>
      </c>
      <c r="C24" s="69">
        <v>1</v>
      </c>
      <c r="D24" s="68">
        <v>36</v>
      </c>
      <c r="E24" s="67">
        <f>Factura[[#This Row],[UNIDADES]]*Factura[[#This Row],[P.Unitario]]</f>
        <v>36</v>
      </c>
    </row>
    <row r="25" spans="2:5" ht="30" customHeight="1" x14ac:dyDescent="0.25">
      <c r="B25" s="74" t="s">
        <v>439</v>
      </c>
      <c r="C25" s="73">
        <v>6</v>
      </c>
      <c r="D25" s="72">
        <v>76</v>
      </c>
      <c r="E25" s="71">
        <f>Factura[[#This Row],[UNIDADES]]*Factura[[#This Row],[P.Unitario]]</f>
        <v>456</v>
      </c>
    </row>
    <row r="26" spans="2:5" ht="30" customHeight="1" x14ac:dyDescent="0.25">
      <c r="B26" s="70" t="s">
        <v>79</v>
      </c>
      <c r="C26" s="69">
        <v>1</v>
      </c>
      <c r="D26" s="68">
        <v>55</v>
      </c>
      <c r="E26" s="67">
        <f>Factura[[#This Row],[UNIDADES]]*Factura[[#This Row],[P.Unitario]]</f>
        <v>55</v>
      </c>
    </row>
    <row r="27" spans="2:5" ht="30" customHeight="1" x14ac:dyDescent="0.25">
      <c r="B27" s="74" t="s">
        <v>78</v>
      </c>
      <c r="C27" s="73">
        <v>2</v>
      </c>
      <c r="D27" s="72">
        <v>19</v>
      </c>
      <c r="E27" s="71">
        <f>Factura[[#This Row],[UNIDADES]]*Factura[[#This Row],[P.Unitario]]</f>
        <v>38</v>
      </c>
    </row>
    <row r="28" spans="2:5" ht="30" customHeight="1" x14ac:dyDescent="0.25">
      <c r="B28" s="70" t="s">
        <v>77</v>
      </c>
      <c r="C28" s="69">
        <v>3</v>
      </c>
      <c r="D28" s="68">
        <v>27</v>
      </c>
      <c r="E28" s="67">
        <f>Factura[[#This Row],[UNIDADES]]*Factura[[#This Row],[P.Unitario]]</f>
        <v>81</v>
      </c>
    </row>
    <row r="29" spans="2:5" ht="30" customHeight="1" x14ac:dyDescent="0.25">
      <c r="B29" s="74" t="s">
        <v>76</v>
      </c>
      <c r="C29" s="73">
        <v>1</v>
      </c>
      <c r="D29" s="72">
        <v>120</v>
      </c>
      <c r="E29" s="71">
        <f>Factura[[#This Row],[UNIDADES]]*Factura[[#This Row],[P.Unitario]]</f>
        <v>120</v>
      </c>
    </row>
    <row r="30" spans="2:5" ht="30" customHeight="1" x14ac:dyDescent="0.25">
      <c r="B30" s="70" t="s">
        <v>75</v>
      </c>
      <c r="C30" s="69">
        <v>4</v>
      </c>
      <c r="D30" s="68">
        <v>45</v>
      </c>
      <c r="E30" s="67">
        <f>Factura[[#This Row],[UNIDADES]]*Factura[[#This Row],[P.Unitario]]</f>
        <v>180</v>
      </c>
    </row>
    <row r="31" spans="2:5" ht="30" customHeight="1" x14ac:dyDescent="0.25">
      <c r="B31" s="74" t="s">
        <v>445</v>
      </c>
      <c r="C31" s="73">
        <v>2</v>
      </c>
      <c r="D31" s="72">
        <v>10</v>
      </c>
      <c r="E31" s="71">
        <f>Factura[[#This Row],[UNIDADES]]*Factura[[#This Row],[P.Unitario]]</f>
        <v>20</v>
      </c>
    </row>
    <row r="32" spans="2:5" ht="30" customHeight="1" x14ac:dyDescent="0.25">
      <c r="B32" s="70" t="s">
        <v>73</v>
      </c>
      <c r="C32" s="69">
        <v>1</v>
      </c>
      <c r="D32" s="68">
        <v>25</v>
      </c>
      <c r="E32" s="67">
        <f>Factura[[#This Row],[UNIDADES]]*Factura[[#This Row],[P.Unitario]]</f>
        <v>25</v>
      </c>
    </row>
    <row r="33" spans="2:7" ht="30" customHeight="1" x14ac:dyDescent="0.25">
      <c r="B33" s="74" t="s">
        <v>74</v>
      </c>
      <c r="C33" s="73">
        <v>2</v>
      </c>
      <c r="D33" s="72">
        <v>55</v>
      </c>
      <c r="E33" s="71">
        <f>Factura[[#This Row],[UNIDADES]]*Factura[[#This Row],[P.Unitario]]</f>
        <v>110</v>
      </c>
    </row>
    <row r="34" spans="2:7" ht="30" customHeight="1" x14ac:dyDescent="0.25">
      <c r="B34" s="74" t="s">
        <v>72</v>
      </c>
      <c r="C34" s="73">
        <v>1</v>
      </c>
      <c r="D34" s="72">
        <v>210</v>
      </c>
      <c r="E34" s="71">
        <f>Factura[[#This Row],[UNIDADES]]*Factura[[#This Row],[P.Unitario]]</f>
        <v>210</v>
      </c>
    </row>
    <row r="35" spans="2:7" ht="30" customHeight="1" x14ac:dyDescent="0.25">
      <c r="B35" s="70" t="s">
        <v>71</v>
      </c>
      <c r="C35" s="69">
        <v>2</v>
      </c>
      <c r="D35" s="68">
        <v>15</v>
      </c>
      <c r="E35" s="67">
        <f>Factura[[#This Row],[UNIDADES]]*Factura[[#This Row],[P.Unitario]]</f>
        <v>30</v>
      </c>
    </row>
    <row r="36" spans="2:7" ht="30" customHeight="1" x14ac:dyDescent="0.25">
      <c r="B36" s="74" t="s">
        <v>70</v>
      </c>
      <c r="C36" s="73">
        <v>3</v>
      </c>
      <c r="D36" s="72">
        <v>25</v>
      </c>
      <c r="E36" s="71">
        <f>Factura[[#This Row],[UNIDADES]]*Factura[[#This Row],[P.Unitario]]</f>
        <v>75</v>
      </c>
    </row>
    <row r="37" spans="2:7" ht="30" customHeight="1" thickBot="1" x14ac:dyDescent="0.3">
      <c r="B37" s="70" t="s">
        <v>443</v>
      </c>
      <c r="C37" s="69">
        <v>7</v>
      </c>
      <c r="D37" s="68">
        <v>12</v>
      </c>
      <c r="E37" s="67">
        <f>Factura[[#This Row],[UNIDADES]]*Factura[[#This Row],[P.Unitario]]</f>
        <v>84</v>
      </c>
    </row>
    <row r="38" spans="2:7" ht="30" customHeight="1" thickTop="1" thickBot="1" x14ac:dyDescent="0.3">
      <c r="D38" s="66" t="s">
        <v>69</v>
      </c>
      <c r="E38" s="65">
        <f>SUM(Factura[TOTAL])</f>
        <v>2282.6999999999998</v>
      </c>
      <c r="G38" s="65">
        <v>2282.6999999999998</v>
      </c>
    </row>
    <row r="39" spans="2:7" ht="30" customHeight="1" thickTop="1" thickBot="1" x14ac:dyDescent="0.3">
      <c r="D39" s="66" t="s">
        <v>68</v>
      </c>
      <c r="E39" s="65">
        <f>E38*0.21</f>
        <v>479.36699999999996</v>
      </c>
    </row>
    <row r="40" spans="2:7" ht="30" customHeight="1" thickTop="1" thickBot="1" x14ac:dyDescent="0.3">
      <c r="D40" s="64" t="s">
        <v>14</v>
      </c>
      <c r="E40" s="63">
        <f>SUM(E38+E39)</f>
        <v>2762.067</v>
      </c>
      <c r="G40" s="466">
        <v>2762.067</v>
      </c>
    </row>
    <row r="41" spans="2:7" ht="30" customHeight="1" thickTop="1" x14ac:dyDescent="0.25"/>
  </sheetData>
  <mergeCells count="1">
    <mergeCell ref="B1:D1"/>
  </mergeCells>
  <dataValidations xWindow="250" yWindow="380" count="31">
    <dataValidation allowBlank="1" showInputMessage="1" showErrorMessage="1" prompt="Escriba el nombre de la compañía en esta celda. En las siguientes celdas, escriba el eslogan de la organización en la celda B3, su dirección en la celda B4, el número de teléfono y fax en la celda B5 y el Id. de correo electrónico en la celda B6." sqref="C2" xr:uid="{00000000-0002-0000-0D00-000000000000}"/>
    <dataValidation allowBlank="1" showInputMessage="1" showErrorMessage="1" prompt="Escriba el eslogan de la empresa en esta celda." sqref="B3:C3" xr:uid="{00000000-0002-0000-0D00-000001000000}"/>
    <dataValidation allowBlank="1" showInputMessage="1" showErrorMessage="1" prompt="Escriba el número de teléfono y fax de la empresa en esta celda." sqref="B6" xr:uid="{00000000-0002-0000-0D00-000002000000}"/>
    <dataValidation allowBlank="1" showInputMessage="1" showErrorMessage="1" prompt="Escriba la dirección de correo de la empresa en esta celda." sqref="B7" xr:uid="{00000000-0002-0000-0D00-000003000000}"/>
    <dataValidation allowBlank="1" showInputMessage="1" showErrorMessage="1" prompt="Escriba el número de factura en la celda de la derecha." sqref="C4" xr:uid="{00000000-0002-0000-0D00-000004000000}"/>
    <dataValidation allowBlank="1" showInputMessage="1" showErrorMessage="1" prompt="Escriba el número de factura en esta celda." sqref="D4" xr:uid="{00000000-0002-0000-0D00-000005000000}"/>
    <dataValidation allowBlank="1" showInputMessage="1" showErrorMessage="1" prompt="Escriba la fecha de la factura en la celda de la derecha." sqref="C5" xr:uid="{00000000-0002-0000-0D00-000006000000}"/>
    <dataValidation allowBlank="1" showInputMessage="1" showErrorMessage="1" prompt="Escriba la fecha en esta celda." sqref="D5" xr:uid="{00000000-0002-0000-0D00-000007000000}"/>
    <dataValidation allowBlank="1" showInputMessage="1" showErrorMessage="1" prompt="Escriba el nombre del cliente, el nombre de la empresa, la dirección y el número de teléfono en las siguientes celdas." sqref="B8" xr:uid="{00000000-0002-0000-0D00-000008000000}"/>
    <dataValidation allowBlank="1" showInputMessage="1" showErrorMessage="1" prompt="Escriba la información de envío en las celdas de abajo." sqref="C9" xr:uid="{00000000-0002-0000-0D00-000009000000}"/>
    <dataValidation allowBlank="1" showInputMessage="1" showErrorMessage="1" prompt="Escriba la descripción del cargo financiero en la columna con este encabezado." sqref="B15" xr:uid="{00000000-0002-0000-0D00-00000A000000}"/>
    <dataValidation allowBlank="1" showInputMessage="1" showErrorMessage="1" prompt="Indique la cantidad en esta columna, bajo este encabezado, para cada descripción en la columna B. La última celda de la tabla contiene el importe total." sqref="D15:E15" xr:uid="{00000000-0002-0000-0D00-00000B000000}"/>
    <dataValidation allowBlank="1" showInputMessage="1" showErrorMessage="1" prompt="Escriba el id. del cliente en la celda de la derecha." sqref="C6" xr:uid="{00000000-0002-0000-0D00-00000C000000}"/>
    <dataValidation allowBlank="1" showInputMessage="1" showErrorMessage="1" prompt="Escriba el id. del cliente en esta celda." sqref="D6" xr:uid="{00000000-0002-0000-0D00-00000D000000}"/>
    <dataValidation allowBlank="1" showInputMessage="1" showErrorMessage="1" prompt="Escriba el título del trabajo o proyecto en la celda siguiente." sqref="B14" xr:uid="{00000000-0002-0000-0D00-00000E000000}"/>
    <dataValidation allowBlank="1" showInputMessage="1" showErrorMessage="1" prompt="Escriba la dirección postal de la empresa en esta celda." sqref="B4" xr:uid="{00000000-0002-0000-0D00-00000F000000}"/>
    <dataValidation allowBlank="1" showInputMessage="1" showErrorMessage="1" prompt="Escriba la ciudad, el estado y el código postal de envío en esta celda." sqref="C13" xr:uid="{00000000-0002-0000-0D00-000010000000}"/>
    <dataValidation allowBlank="1" showInputMessage="1" showErrorMessage="1" prompt="Escriba el nombre de la empresa de envío en esta celda." sqref="C11" xr:uid="{00000000-0002-0000-0D00-000011000000}"/>
    <dataValidation allowBlank="1" showInputMessage="1" showErrorMessage="1" prompt="Escriba la dirección de envío en esta celda." sqref="C12" xr:uid="{00000000-0002-0000-0D00-000012000000}"/>
    <dataValidation allowBlank="1" showInputMessage="1" showErrorMessage="1" prompt="Escriba el nombre de envío en esta celda." sqref="C10" xr:uid="{00000000-0002-0000-0D00-000013000000}"/>
    <dataValidation allowBlank="1" showInputMessage="1" showErrorMessage="1" prompt="La columna de la factura opcional está bajo este encabezado. Escriba un título en esta celda. Seleccione el diseño y después Columnas con bandas en la cinta de opciones para ver u ocultar los bordes de la columna." sqref="C15" xr:uid="{00000000-0002-0000-0D00-000014000000}"/>
    <dataValidation allowBlank="1" showInputMessage="1" showErrorMessage="1" prompt="Escriba el nombre de la empresa que factura en esta celda y agregue el eslogan, la dirección, el teléfono y el correo electrónico en la celda siguiente." sqref="B2" xr:uid="{00000000-0002-0000-0D00-000015000000}"/>
    <dataValidation allowBlank="1" showInputMessage="1" showErrorMessage="1" prompt="Escriba la ciudad, el estado y el código postal en esta celda." sqref="B5" xr:uid="{00000000-0002-0000-0D00-000016000000}"/>
    <dataValidation allowBlank="1" showInputMessage="1" showErrorMessage="1" prompt="El título de la hoja de cálculo se encuentra en esta celda." sqref="B1:D1" xr:uid="{00000000-0002-0000-0D00-000017000000}"/>
    <dataValidation allowBlank="1" showInputMessage="1" showErrorMessage="1" prompt="Escriba el nombre del cliente en esta celda." sqref="B9" xr:uid="{00000000-0002-0000-0D00-000018000000}"/>
    <dataValidation allowBlank="1" showInputMessage="1" showErrorMessage="1" prompt="Escriba el nombre de la empresa en esta celda." sqref="B10" xr:uid="{00000000-0002-0000-0D00-000019000000}"/>
    <dataValidation allowBlank="1" showInputMessage="1" showErrorMessage="1" prompt="Escriba la dirección del cliente en esta celda." sqref="B11" xr:uid="{00000000-0002-0000-0D00-00001A000000}"/>
    <dataValidation allowBlank="1" showInputMessage="1" showErrorMessage="1" prompt="Escriba la ciudad, el estado y el código postal del cliente en esta celda." sqref="B12" xr:uid="{00000000-0002-0000-0D00-00001B000000}"/>
    <dataValidation allowBlank="1" showInputMessage="1" showErrorMessage="1" prompt="Escriba el número de teléfono del cliente en esta celda." sqref="B13" xr:uid="{00000000-0002-0000-0D00-00001C000000}"/>
    <dataValidation allowBlank="1" showInputMessage="1" showErrorMessage="1" prompt="Escriba el número de teléfono para el envío en esta celda." sqref="C14" xr:uid="{00000000-0002-0000-0D00-00001D000000}"/>
    <dataValidation allowBlank="1" showInputMessage="1" showErrorMessage="1" prompt="Cree una factura con Cargo financiero en esta hoja de cálculo. Escriba los detalles del envío y del cliente, las descripciones y las cantidades. El total a pagar se calcula automáticamente." sqref="A1" xr:uid="{00000000-0002-0000-0D00-00001E000000}"/>
  </dataValidations>
  <printOptions horizontalCentered="1"/>
  <pageMargins left="0.25" right="0.25" top="0.75" bottom="0.75" header="0.3" footer="0.3"/>
  <pageSetup paperSize="9" scale="63" orientation="portrait" r:id="rId1"/>
  <headerFooter differentFirst="1">
    <oddFooter>Page &amp;P of &amp;N</oddFooter>
  </headerFooter>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1" tint="0.499984740745262"/>
    <pageSetUpPr fitToPage="1"/>
  </sheetPr>
  <dimension ref="B1:E18"/>
  <sheetViews>
    <sheetView showGridLines="0" topLeftCell="A2" zoomScale="71" zoomScaleNormal="71" workbookViewId="0">
      <selection activeCell="E5" sqref="E5"/>
    </sheetView>
  </sheetViews>
  <sheetFormatPr baseColWidth="10" defaultColWidth="10.28515625" defaultRowHeight="30" customHeight="1" x14ac:dyDescent="0.25"/>
  <cols>
    <col min="1" max="1" width="17.7109375" style="114" customWidth="1"/>
    <col min="2" max="2" width="63" style="114" customWidth="1"/>
    <col min="3" max="3" width="26.85546875" style="114" customWidth="1"/>
    <col min="4" max="4" width="32.140625" style="114" customWidth="1"/>
    <col min="5" max="5" width="31" style="114" customWidth="1"/>
    <col min="6" max="16384" width="10.28515625" style="114"/>
  </cols>
  <sheetData>
    <row r="1" spans="2:5" ht="70.5" customHeight="1" x14ac:dyDescent="0.25">
      <c r="B1" s="527"/>
      <c r="C1" s="527"/>
      <c r="D1" s="527"/>
    </row>
    <row r="2" spans="2:5" ht="30.75" customHeight="1" x14ac:dyDescent="0.4">
      <c r="B2" s="132"/>
      <c r="C2" s="131" t="s">
        <v>137</v>
      </c>
      <c r="D2" s="130">
        <v>44562</v>
      </c>
    </row>
    <row r="3" spans="2:5" ht="30" customHeight="1" x14ac:dyDescent="0.3">
      <c r="B3" s="526"/>
      <c r="C3" s="128" t="s">
        <v>136</v>
      </c>
      <c r="D3" s="129">
        <v>105</v>
      </c>
    </row>
    <row r="4" spans="2:5" ht="29.25" customHeight="1" x14ac:dyDescent="0.3">
      <c r="B4" s="526"/>
      <c r="C4" s="128" t="s">
        <v>135</v>
      </c>
      <c r="D4" s="126" t="s">
        <v>94</v>
      </c>
      <c r="E4" s="122" t="s">
        <v>435</v>
      </c>
    </row>
    <row r="5" spans="2:5" ht="21" customHeight="1" x14ac:dyDescent="0.3">
      <c r="B5" s="124" t="s">
        <v>93</v>
      </c>
      <c r="C5" s="124"/>
      <c r="D5" s="126" t="s">
        <v>134</v>
      </c>
      <c r="E5" s="122" t="s">
        <v>435</v>
      </c>
    </row>
    <row r="6" spans="2:5" ht="24.75" customHeight="1" x14ac:dyDescent="0.35">
      <c r="B6" s="124" t="s">
        <v>132</v>
      </c>
      <c r="C6" s="127"/>
      <c r="D6" s="126" t="s">
        <v>93</v>
      </c>
      <c r="E6" s="122" t="s">
        <v>133</v>
      </c>
    </row>
    <row r="7" spans="2:5" ht="23.25" customHeight="1" x14ac:dyDescent="0.3">
      <c r="B7" s="125" t="s">
        <v>89</v>
      </c>
      <c r="C7" s="124"/>
      <c r="D7" s="126" t="s">
        <v>132</v>
      </c>
      <c r="E7" s="122" t="s">
        <v>131</v>
      </c>
    </row>
    <row r="8" spans="2:5" ht="22.5" customHeight="1" x14ac:dyDescent="0.3">
      <c r="B8" s="125" t="s">
        <v>130</v>
      </c>
      <c r="C8" s="124"/>
      <c r="D8" s="123" t="s">
        <v>89</v>
      </c>
      <c r="E8" s="122" t="s">
        <v>129</v>
      </c>
    </row>
    <row r="9" spans="2:5" ht="30" customHeight="1" x14ac:dyDescent="0.25">
      <c r="B9" s="525" t="s">
        <v>128</v>
      </c>
      <c r="C9" s="525"/>
      <c r="D9" s="525"/>
    </row>
    <row r="10" spans="2:5" s="121" customFormat="1" ht="30" customHeight="1" x14ac:dyDescent="0.35">
      <c r="B10" s="433" t="s">
        <v>127</v>
      </c>
      <c r="C10" s="434" t="s">
        <v>105</v>
      </c>
      <c r="D10" s="435" t="s">
        <v>126</v>
      </c>
    </row>
    <row r="11" spans="2:5" s="118" customFormat="1" ht="30" customHeight="1" x14ac:dyDescent="0.35">
      <c r="B11" s="436" t="s">
        <v>125</v>
      </c>
      <c r="C11" s="437"/>
      <c r="D11" s="438">
        <v>198.72</v>
      </c>
    </row>
    <row r="12" spans="2:5" s="118" customFormat="1" ht="30" customHeight="1" x14ac:dyDescent="0.35">
      <c r="B12" s="436" t="s">
        <v>124</v>
      </c>
      <c r="C12" s="439"/>
      <c r="D12" s="438">
        <f>46.83+24.3</f>
        <v>71.13</v>
      </c>
    </row>
    <row r="13" spans="2:5" s="118" customFormat="1" ht="30" customHeight="1" x14ac:dyDescent="0.35">
      <c r="B13" s="440"/>
      <c r="C13" s="441" t="s">
        <v>69</v>
      </c>
      <c r="D13" s="442">
        <f>SUM(D11:D12)</f>
        <v>269.85000000000002</v>
      </c>
    </row>
    <row r="14" spans="2:5" s="118" customFormat="1" ht="30" customHeight="1" x14ac:dyDescent="0.35">
      <c r="B14" s="114"/>
      <c r="C14" s="120" t="s">
        <v>123</v>
      </c>
      <c r="D14" s="119">
        <f>('FACTURA LUZ '!$D$13*0.21)</f>
        <v>56.668500000000002</v>
      </c>
    </row>
    <row r="15" spans="2:5" ht="30" customHeight="1" x14ac:dyDescent="0.35">
      <c r="C15" s="117" t="s">
        <v>14</v>
      </c>
      <c r="D15" s="116">
        <f>('FACTURA LUZ '!$D$13+D14)</f>
        <v>326.51850000000002</v>
      </c>
    </row>
    <row r="18" spans="2:2" ht="30" customHeight="1" x14ac:dyDescent="0.3">
      <c r="B18" s="115" t="s">
        <v>106</v>
      </c>
    </row>
  </sheetData>
  <mergeCells count="3">
    <mergeCell ref="B9:D9"/>
    <mergeCell ref="B3:B4"/>
    <mergeCell ref="B1:D1"/>
  </mergeCells>
  <dataValidations count="26">
    <dataValidation allowBlank="1" showInputMessage="1" showErrorMessage="1" prompt="Escriba el nombre de la empresa que factura en esta celda y el lema en la celda siguiente" sqref="B2" xr:uid="{00000000-0002-0000-0F00-000000000000}"/>
    <dataValidation allowBlank="1" showInputMessage="1" showErrorMessage="1" prompt="El título de esta hoja de cálculo se muestra en esta celda. Escriba los detalles de la factura en las celdas C2 a D8" sqref="B1:D1" xr:uid="{00000000-0002-0000-0F00-000001000000}"/>
    <dataValidation allowBlank="1" showInputMessage="1" showErrorMessage="1" prompt="Escriba el lema de la compañía en esta celda, la dirección de la compañía en las celdas de abajo y la descripción del proyecto o servicio en la celda B9" sqref="B3:B4" xr:uid="{00000000-0002-0000-0F00-000002000000}"/>
    <dataValidation allowBlank="1" showInputMessage="1" showErrorMessage="1" prompt="Escriba la dirección de la empresa de facturación en esta celda" sqref="B5" xr:uid="{00000000-0002-0000-0F00-000003000000}"/>
    <dataValidation allowBlank="1" showInputMessage="1" showErrorMessage="1" prompt="Escriba la ciudad, el estado y el código postal en esta celda" sqref="B6" xr:uid="{00000000-0002-0000-0F00-000004000000}"/>
    <dataValidation allowBlank="1" showInputMessage="1" showErrorMessage="1" prompt="Escriba el número de fax en esta celda" sqref="B8" xr:uid="{00000000-0002-0000-0F00-000005000000}"/>
    <dataValidation allowBlank="1" showInputMessage="1" showErrorMessage="1" prompt="Escriba el número de teléfono en esta celda" sqref="B7" xr:uid="{00000000-0002-0000-0F00-000006000000}"/>
    <dataValidation allowBlank="1" showInputMessage="1" showErrorMessage="1" prompt="Escriba la fecha de la factura en la celda de la derecha" sqref="C2" xr:uid="{00000000-0002-0000-0F00-000007000000}"/>
    <dataValidation allowBlank="1" showInputMessage="1" showErrorMessage="1" prompt="Escriba la fecha de la factura en esta celda." sqref="D2" xr:uid="{00000000-0002-0000-0F00-000008000000}"/>
    <dataValidation allowBlank="1" showInputMessage="1" showErrorMessage="1" prompt="Escriba el número de factura en la celda derecha." sqref="C3" xr:uid="{00000000-0002-0000-0F00-000009000000}"/>
    <dataValidation allowBlank="1" showInputMessage="1" showErrorMessage="1" prompt="Escriba el número de factura en esta celda" sqref="D3" xr:uid="{00000000-0002-0000-0F00-00000A000000}"/>
    <dataValidation allowBlank="1" showInputMessage="1" showErrorMessage="1" prompt="Escriba el nombre del cliente en esta celda" sqref="D4" xr:uid="{00000000-0002-0000-0F00-00000B000000}"/>
    <dataValidation allowBlank="1" showInputMessage="1" showErrorMessage="1" prompt="Escriba el nombre de la empresa del cliente en esta celda." sqref="D5" xr:uid="{00000000-0002-0000-0F00-00000C000000}"/>
    <dataValidation allowBlank="1" showInputMessage="1" showErrorMessage="1" prompt="Escriba la dirección del cliente en esta celda." sqref="D6" xr:uid="{00000000-0002-0000-0F00-00000D000000}"/>
    <dataValidation allowBlank="1" showInputMessage="1" showErrorMessage="1" prompt="Escriba la ciudad, el estado y el código postal del cliente en esta celda." sqref="D7" xr:uid="{00000000-0002-0000-0F00-00000E000000}"/>
    <dataValidation allowBlank="1" showInputMessage="1" showErrorMessage="1" prompt="Escriba el número de teléfono del cliente en esta celda" sqref="D8" xr:uid="{00000000-0002-0000-0F00-00000F000000}"/>
    <dataValidation allowBlank="1" showInputMessage="1" showErrorMessage="1" prompt="Escriba la descripción en esta columna, debajo de este encabezado" sqref="B10" xr:uid="{00000000-0002-0000-0F00-000010000000}"/>
    <dataValidation allowBlank="1" showInputMessage="1" showErrorMessage="1" prompt="Escriba el campo personalizado en este encabezado y los datos correspondientes en la columna con este encabezado" sqref="C10" xr:uid="{00000000-0002-0000-0F00-000011000000}"/>
    <dataValidation allowBlank="1" showInputMessage="1" showErrorMessage="1" prompt="Escriba el importe en la columna con este encabezado para cada descripción de la columna B. El subtotal se calcula automáticamente al final de la tabla" sqref="D10" xr:uid="{00000000-0002-0000-0F00-000012000000}"/>
    <dataValidation allowBlank="1" showInputMessage="1" showErrorMessage="1" prompt="Escriba el tipo impositivo en la celda derecha" sqref="C14" xr:uid="{00000000-0002-0000-0F00-000013000000}"/>
    <dataValidation allowBlank="1" showInputMessage="1" showErrorMessage="1" prompt="Escriba el tipo impositivo en esta celda" sqref="D14" xr:uid="{00000000-0002-0000-0F00-000014000000}"/>
    <dataValidation allowBlank="1" showInputMessage="1" showErrorMessage="1" prompt="El total a pagar se calcula automáticamente en esta celda" sqref="C15:D15" xr:uid="{00000000-0002-0000-0F00-000015000000}"/>
    <dataValidation allowBlank="1" showInputMessage="1" showErrorMessage="1" prompt="El total a pagar se calcula automáticamente en la celda de la derecha" sqref="C15" xr:uid="{00000000-0002-0000-0F00-000016000000}"/>
    <dataValidation allowBlank="1" showInputMessage="1" showErrorMessage="1" prompt="Cree una factura con un cálculo de impuestos en esta hoja de cálculo. Escriba la información de la empresa y del cliente, y la información de la factura en la tabla Factura. El total a pagar se calcula automáticamente." sqref="A1" xr:uid="{00000000-0002-0000-0F00-000017000000}"/>
    <dataValidation allowBlank="1" showInputMessage="1" showErrorMessage="1" prompt="Escriba la descripción del proyecto o del servicio en esta celda, los detalles de la factura en la tabla siguiente y el tipo impositivo y otra información en las celdas debajo de la tabla. Los impuestos y el total a pagar se calculan automáticamente" sqref="B9:D9" xr:uid="{00000000-0002-0000-0F00-000018000000}"/>
    <dataValidation allowBlank="1" showInputMessage="1" showErrorMessage="1" prompt="Escriba el nombre del cliente, el nombre de la empresa, la dirección, la ciudad, la provincia, el código postal y el número de teléfono en las celdas de D5 a D10" sqref="C6 C4" xr:uid="{00000000-0002-0000-0F00-000019000000}"/>
  </dataValidations>
  <printOptions horizontalCentered="1"/>
  <pageMargins left="0.5" right="0.5" top="0.5" bottom="0.5" header="0.5" footer="0.5"/>
  <pageSetup paperSize="9" scale="85" fitToHeight="0" orientation="portrait" r:id="rId1"/>
  <headerFooter differentFirst="1">
    <oddFooter>Page &amp;P of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1" tint="0.499984740745262"/>
    <pageSetUpPr fitToPage="1"/>
  </sheetPr>
  <dimension ref="B1:E17"/>
  <sheetViews>
    <sheetView showGridLines="0" topLeftCell="A10" workbookViewId="0">
      <selection activeCell="C18" sqref="C18"/>
    </sheetView>
  </sheetViews>
  <sheetFormatPr baseColWidth="10" defaultColWidth="10.28515625" defaultRowHeight="30" customHeight="1" x14ac:dyDescent="0.25"/>
  <cols>
    <col min="1" max="1" width="17.7109375" style="133" customWidth="1"/>
    <col min="2" max="2" width="54.28515625" style="133" customWidth="1"/>
    <col min="3" max="3" width="22" style="133" customWidth="1"/>
    <col min="4" max="4" width="28.28515625" style="133" customWidth="1"/>
    <col min="5" max="5" width="25.42578125" style="133" customWidth="1"/>
    <col min="6" max="16384" width="10.28515625" style="133"/>
  </cols>
  <sheetData>
    <row r="1" spans="2:5" ht="70.5" customHeight="1" x14ac:dyDescent="0.25">
      <c r="B1" s="530"/>
      <c r="C1" s="530"/>
      <c r="D1" s="530"/>
    </row>
    <row r="2" spans="2:5" ht="30.75" customHeight="1" x14ac:dyDescent="0.25">
      <c r="B2" s="154"/>
      <c r="C2" s="153" t="s">
        <v>137</v>
      </c>
      <c r="D2" s="152">
        <v>44562</v>
      </c>
    </row>
    <row r="3" spans="2:5" ht="30" customHeight="1" x14ac:dyDescent="0.25">
      <c r="B3" s="529"/>
      <c r="C3" s="150" t="s">
        <v>136</v>
      </c>
      <c r="D3" s="151">
        <v>105</v>
      </c>
    </row>
    <row r="4" spans="2:5" ht="29.25" customHeight="1" x14ac:dyDescent="0.3">
      <c r="B4" s="529"/>
      <c r="C4" s="150" t="s">
        <v>135</v>
      </c>
      <c r="D4" s="124" t="s">
        <v>94</v>
      </c>
      <c r="E4" s="114" t="s">
        <v>435</v>
      </c>
    </row>
    <row r="5" spans="2:5" ht="21" customHeight="1" x14ac:dyDescent="0.3">
      <c r="B5" s="148" t="s">
        <v>93</v>
      </c>
      <c r="C5" s="148"/>
      <c r="D5" s="124" t="s">
        <v>134</v>
      </c>
      <c r="E5" s="114" t="s">
        <v>435</v>
      </c>
    </row>
    <row r="6" spans="2:5" ht="24.75" customHeight="1" x14ac:dyDescent="0.3">
      <c r="B6" s="148" t="s">
        <v>132</v>
      </c>
      <c r="C6" s="150"/>
      <c r="D6" s="124" t="s">
        <v>93</v>
      </c>
      <c r="E6" s="114" t="s">
        <v>133</v>
      </c>
    </row>
    <row r="7" spans="2:5" ht="23.25" customHeight="1" x14ac:dyDescent="0.3">
      <c r="B7" s="149" t="s">
        <v>89</v>
      </c>
      <c r="C7" s="148"/>
      <c r="D7" s="124" t="s">
        <v>132</v>
      </c>
      <c r="E7" s="114" t="s">
        <v>131</v>
      </c>
    </row>
    <row r="8" spans="2:5" ht="22.5" customHeight="1" x14ac:dyDescent="0.3">
      <c r="B8" s="149" t="s">
        <v>130</v>
      </c>
      <c r="C8" s="148"/>
      <c r="D8" s="125" t="s">
        <v>89</v>
      </c>
      <c r="E8" s="114" t="s">
        <v>129</v>
      </c>
    </row>
    <row r="9" spans="2:5" ht="30" customHeight="1" x14ac:dyDescent="0.25">
      <c r="B9" s="528" t="s">
        <v>128</v>
      </c>
      <c r="C9" s="528"/>
      <c r="D9" s="528"/>
    </row>
    <row r="10" spans="2:5" s="144" customFormat="1" ht="30" customHeight="1" x14ac:dyDescent="0.25">
      <c r="B10" s="147" t="s">
        <v>127</v>
      </c>
      <c r="C10" s="146"/>
      <c r="D10" s="145" t="s">
        <v>126</v>
      </c>
    </row>
    <row r="11" spans="2:5" ht="30" customHeight="1" x14ac:dyDescent="0.25">
      <c r="B11" s="142" t="s">
        <v>125</v>
      </c>
      <c r="C11" s="143"/>
      <c r="D11" s="139">
        <v>99.11</v>
      </c>
    </row>
    <row r="12" spans="2:5" ht="30" customHeight="1" x14ac:dyDescent="0.25">
      <c r="B12" s="142" t="s">
        <v>124</v>
      </c>
      <c r="C12" s="141"/>
      <c r="D12" s="139">
        <v>34.85</v>
      </c>
    </row>
    <row r="13" spans="2:5" ht="30" customHeight="1" x14ac:dyDescent="0.25">
      <c r="B13" s="141"/>
      <c r="C13" s="140" t="s">
        <v>69</v>
      </c>
      <c r="D13" s="139">
        <f>SUM(D11:D12)</f>
        <v>133.96</v>
      </c>
    </row>
    <row r="14" spans="2:5" ht="30" customHeight="1" x14ac:dyDescent="0.25">
      <c r="C14" s="138" t="s">
        <v>123</v>
      </c>
      <c r="D14" s="137">
        <f>('FACTURA GAS'!$D$13*0.21)</f>
        <v>28.131600000000002</v>
      </c>
    </row>
    <row r="15" spans="2:5" ht="30" customHeight="1" x14ac:dyDescent="0.25">
      <c r="C15" s="136" t="s">
        <v>14</v>
      </c>
      <c r="D15" s="135">
        <f>('FACTURA GAS'!$D$13+D14)</f>
        <v>162.0916</v>
      </c>
    </row>
    <row r="17" spans="2:2" ht="30" customHeight="1" x14ac:dyDescent="0.25">
      <c r="B17" s="134" t="s">
        <v>106</v>
      </c>
    </row>
  </sheetData>
  <mergeCells count="3">
    <mergeCell ref="B9:D9"/>
    <mergeCell ref="B3:B4"/>
    <mergeCell ref="B1:D1"/>
  </mergeCells>
  <dataValidations count="26">
    <dataValidation allowBlank="1" showInputMessage="1" showErrorMessage="1" prompt="Escriba el nombre de la empresa que factura en esta celda y el lema en la celda siguiente" sqref="B2" xr:uid="{00000000-0002-0000-1000-000000000000}"/>
    <dataValidation allowBlank="1" showInputMessage="1" showErrorMessage="1" prompt="El título de esta hoja de cálculo se muestra en esta celda. Escriba los detalles de la factura en las celdas C2 a D8" sqref="B1:D1" xr:uid="{00000000-0002-0000-1000-000001000000}"/>
    <dataValidation allowBlank="1" showInputMessage="1" showErrorMessage="1" prompt="Escriba el lema de la compañía en esta celda, la dirección de la compañía en las celdas de abajo y la descripción del proyecto o servicio en la celda B9" sqref="B3:B4" xr:uid="{00000000-0002-0000-1000-000002000000}"/>
    <dataValidation allowBlank="1" showInputMessage="1" showErrorMessage="1" prompt="Escriba la dirección de la empresa de facturación en esta celda" sqref="B5" xr:uid="{00000000-0002-0000-1000-000003000000}"/>
    <dataValidation allowBlank="1" showInputMessage="1" showErrorMessage="1" prompt="Escriba la ciudad, el estado y el código postal en esta celda" sqref="B6" xr:uid="{00000000-0002-0000-1000-000004000000}"/>
    <dataValidation allowBlank="1" showInputMessage="1" showErrorMessage="1" prompt="Escriba el número de fax en esta celda" sqref="B8" xr:uid="{00000000-0002-0000-1000-000005000000}"/>
    <dataValidation allowBlank="1" showInputMessage="1" showErrorMessage="1" prompt="Escriba el número de teléfono en esta celda" sqref="B7" xr:uid="{00000000-0002-0000-1000-000006000000}"/>
    <dataValidation allowBlank="1" showInputMessage="1" showErrorMessage="1" prompt="Escriba la fecha de la factura en la celda de la derecha" sqref="C2" xr:uid="{00000000-0002-0000-1000-000007000000}"/>
    <dataValidation allowBlank="1" showInputMessage="1" showErrorMessage="1" prompt="Escriba la fecha de la factura en esta celda." sqref="D2" xr:uid="{00000000-0002-0000-1000-000008000000}"/>
    <dataValidation allowBlank="1" showInputMessage="1" showErrorMessage="1" prompt="Escriba el número de factura en la celda derecha." sqref="C3" xr:uid="{00000000-0002-0000-1000-000009000000}"/>
    <dataValidation allowBlank="1" showInputMessage="1" showErrorMessage="1" prompt="Escriba el número de factura en esta celda" sqref="D3" xr:uid="{00000000-0002-0000-1000-00000A000000}"/>
    <dataValidation allowBlank="1" showInputMessage="1" showErrorMessage="1" prompt="Escriba el nombre del cliente en esta celda" sqref="D4" xr:uid="{00000000-0002-0000-1000-00000B000000}"/>
    <dataValidation allowBlank="1" showInputMessage="1" showErrorMessage="1" prompt="Escriba el nombre de la empresa del cliente en esta celda." sqref="D5" xr:uid="{00000000-0002-0000-1000-00000C000000}"/>
    <dataValidation allowBlank="1" showInputMessage="1" showErrorMessage="1" prompt="Escriba la dirección del cliente en esta celda." sqref="D6" xr:uid="{00000000-0002-0000-1000-00000D000000}"/>
    <dataValidation allowBlank="1" showInputMessage="1" showErrorMessage="1" prompt="Escriba la ciudad, el estado y el código postal del cliente en esta celda." sqref="D7" xr:uid="{00000000-0002-0000-1000-00000E000000}"/>
    <dataValidation allowBlank="1" showInputMessage="1" showErrorMessage="1" prompt="Escriba el número de teléfono del cliente en esta celda" sqref="D8" xr:uid="{00000000-0002-0000-1000-00000F000000}"/>
    <dataValidation allowBlank="1" showInputMessage="1" showErrorMessage="1" prompt="Escriba la descripción en esta columna, debajo de este encabezado" sqref="B10" xr:uid="{00000000-0002-0000-1000-000010000000}"/>
    <dataValidation allowBlank="1" showInputMessage="1" showErrorMessage="1" prompt="Escriba el campo personalizado en este encabezado y los datos correspondientes en la columna con este encabezado" sqref="C10" xr:uid="{00000000-0002-0000-1000-000011000000}"/>
    <dataValidation allowBlank="1" showInputMessage="1" showErrorMessage="1" prompt="Escriba el importe en la columna con este encabezado para cada descripción de la columna B. El subtotal se calcula automáticamente al final de la tabla" sqref="D10" xr:uid="{00000000-0002-0000-1000-000012000000}"/>
    <dataValidation allowBlank="1" showInputMessage="1" showErrorMessage="1" prompt="Escriba el tipo impositivo en la celda derecha" sqref="C14" xr:uid="{00000000-0002-0000-1000-000013000000}"/>
    <dataValidation allowBlank="1" showInputMessage="1" showErrorMessage="1" prompt="Escriba el tipo impositivo en esta celda" sqref="D14" xr:uid="{00000000-0002-0000-1000-000014000000}"/>
    <dataValidation allowBlank="1" showInputMessage="1" showErrorMessage="1" prompt="El total a pagar se calcula automáticamente en esta celda" sqref="C15:D15" xr:uid="{00000000-0002-0000-1000-000015000000}"/>
    <dataValidation allowBlank="1" showInputMessage="1" showErrorMessage="1" prompt="El total a pagar se calcula automáticamente en la celda de la derecha" sqref="C15" xr:uid="{00000000-0002-0000-1000-000016000000}"/>
    <dataValidation allowBlank="1" showInputMessage="1" showErrorMessage="1" prompt="Cree una factura con un cálculo de impuestos en esta hoja de cálculo. Escriba la información de la empresa y del cliente, y la información de la factura en la tabla Factura. El total a pagar se calcula automáticamente." sqref="A1" xr:uid="{00000000-0002-0000-1000-000017000000}"/>
    <dataValidation allowBlank="1" showInputMessage="1" showErrorMessage="1" prompt="Escriba la descripción del proyecto o del servicio en esta celda, los detalles de la factura en la tabla siguiente y el tipo impositivo y otra información en las celdas debajo de la tabla. Los impuestos y el total a pagar se calculan automáticamente" sqref="B9:D9" xr:uid="{00000000-0002-0000-1000-000018000000}"/>
    <dataValidation allowBlank="1" showInputMessage="1" showErrorMessage="1" prompt="Escriba el nombre del cliente, el nombre de la empresa, la dirección, la ciudad, la provincia, el código postal y el número de teléfono en las celdas de D5 a D10" sqref="C6 C4" xr:uid="{00000000-0002-0000-1000-000019000000}"/>
  </dataValidations>
  <printOptions horizontalCentered="1"/>
  <pageMargins left="0.5" right="0.5" top="0.5" bottom="0.5" header="0.5" footer="0.5"/>
  <pageSetup paperSize="9" scale="85" fitToHeight="0" orientation="portrait" r:id="rId1"/>
  <headerFooter differentFirst="1">
    <oddFooter>Page &amp;P of &amp;N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tint="-0.249977111117893"/>
    <pageSetUpPr fitToPage="1"/>
  </sheetPr>
  <dimension ref="B1:G23"/>
  <sheetViews>
    <sheetView showGridLines="0" topLeftCell="A9" zoomScale="112" zoomScaleNormal="112" workbookViewId="0">
      <selection activeCell="E19" sqref="E19"/>
    </sheetView>
  </sheetViews>
  <sheetFormatPr baseColWidth="10" defaultColWidth="10.28515625" defaultRowHeight="30" customHeight="1" x14ac:dyDescent="0.25"/>
  <cols>
    <col min="1" max="1" width="3" style="155" customWidth="1"/>
    <col min="2" max="2" width="43.5703125" style="155" customWidth="1"/>
    <col min="3" max="3" width="10.5703125" style="155" customWidth="1"/>
    <col min="4" max="4" width="16" style="155" customWidth="1"/>
    <col min="5" max="5" width="17" style="155" customWidth="1"/>
    <col min="6" max="6" width="3" style="155" customWidth="1"/>
    <col min="7" max="16384" width="10.28515625" style="155"/>
  </cols>
  <sheetData>
    <row r="1" spans="2:7" ht="34.5" customHeight="1" x14ac:dyDescent="0.55000000000000004">
      <c r="B1" s="164"/>
      <c r="C1" s="531" t="s">
        <v>104</v>
      </c>
      <c r="D1" s="531"/>
      <c r="E1" s="531"/>
    </row>
    <row r="2" spans="2:7" ht="62.25" customHeight="1" x14ac:dyDescent="0.25">
      <c r="B2" s="163"/>
    </row>
    <row r="3" spans="2:7" ht="15" customHeight="1" x14ac:dyDescent="0.25">
      <c r="B3" s="155" t="s">
        <v>93</v>
      </c>
      <c r="D3" s="159" t="s">
        <v>137</v>
      </c>
      <c r="E3" s="162">
        <v>44562</v>
      </c>
    </row>
    <row r="4" spans="2:7" ht="15" customHeight="1" x14ac:dyDescent="0.25">
      <c r="B4" s="155" t="s">
        <v>143</v>
      </c>
      <c r="D4" s="159" t="s">
        <v>102</v>
      </c>
      <c r="E4" s="155">
        <v>78</v>
      </c>
    </row>
    <row r="5" spans="2:7" ht="30" customHeight="1" x14ac:dyDescent="0.25">
      <c r="B5" s="158" t="s">
        <v>142</v>
      </c>
      <c r="D5" s="161"/>
      <c r="E5" s="160"/>
    </row>
    <row r="6" spans="2:7" ht="30" customHeight="1" x14ac:dyDescent="0.25">
      <c r="B6" s="159" t="s">
        <v>135</v>
      </c>
    </row>
    <row r="7" spans="2:7" ht="15" customHeight="1" x14ac:dyDescent="0.25">
      <c r="B7" s="155" t="s">
        <v>450</v>
      </c>
    </row>
    <row r="8" spans="2:7" ht="15" customHeight="1" x14ac:dyDescent="0.25">
      <c r="B8" s="155" t="s">
        <v>449</v>
      </c>
    </row>
    <row r="9" spans="2:7" ht="15" customHeight="1" x14ac:dyDescent="0.25">
      <c r="B9" s="155" t="s">
        <v>141</v>
      </c>
    </row>
    <row r="10" spans="2:7" ht="15" customHeight="1" x14ac:dyDescent="0.25">
      <c r="B10" s="155" t="s">
        <v>140</v>
      </c>
    </row>
    <row r="11" spans="2:7" ht="30" customHeight="1" x14ac:dyDescent="0.25">
      <c r="B11" s="158" t="s">
        <v>139</v>
      </c>
    </row>
    <row r="12" spans="2:7" ht="30" customHeight="1" x14ac:dyDescent="0.25">
      <c r="B12" s="167" t="s">
        <v>115</v>
      </c>
      <c r="C12" s="168" t="s">
        <v>144</v>
      </c>
    </row>
    <row r="13" spans="2:7" ht="30" customHeight="1" x14ac:dyDescent="0.25">
      <c r="B13" s="169" t="s">
        <v>451</v>
      </c>
      <c r="C13" s="170">
        <v>4500</v>
      </c>
    </row>
    <row r="14" spans="2:7" ht="30" customHeight="1" x14ac:dyDescent="0.25">
      <c r="B14" s="165"/>
      <c r="C14" s="166"/>
    </row>
    <row r="15" spans="2:7" ht="30" customHeight="1" x14ac:dyDescent="0.25">
      <c r="B15" s="165" t="s">
        <v>175</v>
      </c>
      <c r="C15" s="450">
        <f>C13</f>
        <v>4500</v>
      </c>
      <c r="F15" s="157"/>
      <c r="G15" s="157"/>
    </row>
    <row r="16" spans="2:7" ht="30" customHeight="1" x14ac:dyDescent="0.25">
      <c r="B16" s="165" t="s">
        <v>145</v>
      </c>
      <c r="C16" s="166">
        <f>0.21*C13</f>
        <v>945</v>
      </c>
      <c r="F16" s="156"/>
      <c r="G16" s="156"/>
    </row>
    <row r="17" spans="2:5" ht="30" customHeight="1" x14ac:dyDescent="0.25">
      <c r="B17" s="165" t="s">
        <v>452</v>
      </c>
      <c r="C17" s="451">
        <f>0.19*C15</f>
        <v>855</v>
      </c>
    </row>
    <row r="18" spans="2:5" ht="30" customHeight="1" x14ac:dyDescent="0.25">
      <c r="B18" s="171" t="s">
        <v>14</v>
      </c>
      <c r="C18" s="172">
        <f>(C13+C16)-(C17)</f>
        <v>4590</v>
      </c>
    </row>
    <row r="20" spans="2:5" ht="21.6" hidden="1" customHeight="1" x14ac:dyDescent="0.25"/>
    <row r="21" spans="2:5" ht="30" customHeight="1" x14ac:dyDescent="0.25">
      <c r="D21" s="157"/>
      <c r="E21" s="157"/>
    </row>
    <row r="22" spans="2:5" ht="30" customHeight="1" x14ac:dyDescent="0.25">
      <c r="D22" s="157"/>
      <c r="E22" s="157"/>
    </row>
    <row r="23" spans="2:5" ht="30" customHeight="1" x14ac:dyDescent="0.25">
      <c r="D23" s="156"/>
      <c r="E23" s="156"/>
    </row>
  </sheetData>
  <mergeCells count="1">
    <mergeCell ref="C1:E1"/>
  </mergeCells>
  <dataValidations count="23">
    <dataValidation allowBlank="1" showInputMessage="1" showErrorMessage="1" prompt="El título de esta hoja de cálculo se muestra en esta celda. Escriba los detalles de la factura en las celdas D3 a E5." sqref="C1" xr:uid="{00000000-0002-0000-1100-000000000000}"/>
    <dataValidation allowBlank="1" showInputMessage="1" showErrorMessage="1" prompt="Cree una factura de servicio con el cálculo de impuestos en esta hoja de cálculo. Escriba los detalles de la empresa y de los clientes, y los detalles del servicio en la tabla de Factura. El total a pagar se calcula automáticamente." sqref="A1" xr:uid="{00000000-0002-0000-1100-000001000000}"/>
    <dataValidation allowBlank="1" showInputMessage="1" showErrorMessage="1" prompt="Escriba el nombre de la empresa que factura en esta celda y agregue el eslogan en la celda siguiente." sqref="B1" xr:uid="{00000000-0002-0000-1100-000002000000}"/>
    <dataValidation allowBlank="1" showInputMessage="1" showErrorMessage="1" prompt="Escriba el lema de la empresa en esta celda y la dirección de la empresa en las celdas siguientes." sqref="B2" xr:uid="{00000000-0002-0000-1100-000003000000}"/>
    <dataValidation allowBlank="1" showInputMessage="1" showErrorMessage="1" prompt="Escriba la dirección de la empresa que factura en esta celda." sqref="B3" xr:uid="{00000000-0002-0000-1100-000004000000}"/>
    <dataValidation allowBlank="1" showInputMessage="1" showErrorMessage="1" prompt="Escriba la ciudad, la provincia y el código postal en esta celda." sqref="B4" xr:uid="{00000000-0002-0000-1100-000005000000}"/>
    <dataValidation allowBlank="1" showInputMessage="1" showErrorMessage="1" prompt="Escriba el número de teléfono y fax en esta celda." sqref="B5" xr:uid="{00000000-0002-0000-1100-000006000000}"/>
    <dataValidation allowBlank="1" showInputMessage="1" showErrorMessage="1" prompt="Escriba la fecha de la factura en esta celda." sqref="E3" xr:uid="{00000000-0002-0000-1100-000007000000}"/>
    <dataValidation allowBlank="1" showInputMessage="1" showErrorMessage="1" prompt="Escriba la fecha de la factura en la celda de la derecha." sqref="D3" xr:uid="{00000000-0002-0000-1100-000008000000}"/>
    <dataValidation allowBlank="1" showInputMessage="1" showErrorMessage="1" prompt="Escriba el número de factura en la celda de la derecha." sqref="D4" xr:uid="{00000000-0002-0000-1100-000009000000}"/>
    <dataValidation allowBlank="1" showInputMessage="1" showErrorMessage="1" prompt="Escriba el número de factura en esta celda." sqref="E4" xr:uid="{00000000-0002-0000-1100-00000A000000}"/>
    <dataValidation allowBlank="1" showInputMessage="1" showErrorMessage="1" prompt="Escriba la descripción de la factura del servicio o proyecto en esta derecha." sqref="E5" xr:uid="{00000000-0002-0000-1100-00000B000000}"/>
    <dataValidation allowBlank="1" showInputMessage="1" showErrorMessage="1" prompt="Escriba la descripción de la factura del servicio o proyecto en la celda de la derecha." sqref="D5" xr:uid="{00000000-0002-0000-1100-00000C000000}"/>
    <dataValidation allowBlank="1" showInputMessage="1" showErrorMessage="1" prompt="Escriba el número de teléfono del cliente en esta celda." sqref="B11" xr:uid="{00000000-0002-0000-1100-00000D000000}"/>
    <dataValidation allowBlank="1" showInputMessage="1" showErrorMessage="1" prompt="Escriba la ciudad, el estado y el código postal del cliente en esta celda." sqref="B10" xr:uid="{00000000-0002-0000-1100-00000E000000}"/>
    <dataValidation allowBlank="1" showInputMessage="1" showErrorMessage="1" prompt="Escriba la dirección del cliente en esta celda." sqref="B9" xr:uid="{00000000-0002-0000-1100-00000F000000}"/>
    <dataValidation allowBlank="1" showInputMessage="1" showErrorMessage="1" prompt="Escriba el nombre de la empresa del cliente en esta celda." sqref="B8" xr:uid="{00000000-0002-0000-1100-000010000000}"/>
    <dataValidation allowBlank="1" showInputMessage="1" showErrorMessage="1" prompt="Escriba el nombre del cliente en esta celda." sqref="B7" xr:uid="{00000000-0002-0000-1100-000011000000}"/>
    <dataValidation allowBlank="1" showInputMessage="1" showErrorMessage="1" prompt="Escriba el nombre del cliente, el nombre de la empresa, la dirección, la ciudad, la provincia, el código postal y el número de teléfono en las siguientes celdas." sqref="B6" xr:uid="{00000000-0002-0000-1100-000012000000}"/>
    <dataValidation allowBlank="1" showInputMessage="1" showErrorMessage="1" prompt="Reemplace el número de días en el que vence el saldo y el porcentaje que se carga por el servicio al mes en esta celda." sqref="D22:E22 F15:G15" xr:uid="{00000000-0002-0000-1100-000013000000}"/>
    <dataValidation allowBlank="1" showInputMessage="1" showErrorMessage="1" prompt="El nombre de la compañía se anexa automáticamente a esta celda." sqref="D21:E21" xr:uid="{00000000-0002-0000-1100-000014000000}"/>
    <dataValidation allowBlank="1" showInputMessage="1" showErrorMessage="1" prompt="La columna de la factura opcional está bajo este encabezado. Escriba un título en esta celda. Seleccione el diseño y después Columnas con bandas en la cinta de opciones para ver u ocultar los bordes de la columna." sqref="C12" xr:uid="{00000000-0002-0000-1100-000015000000}"/>
    <dataValidation allowBlank="1" showInputMessage="1" showErrorMessage="1" prompt="Escriba la descripción del cargo financiero en la columna con este encabezado." sqref="B12" xr:uid="{00000000-0002-0000-1100-000016000000}"/>
  </dataValidations>
  <printOptions horizontalCentered="1"/>
  <pageMargins left="0.5" right="0.5" top="0.5" bottom="0.5" header="0.5" footer="0.5"/>
  <pageSetup paperSize="9" scale="79" fitToHeight="0" orientation="portrait" r:id="rId1"/>
  <headerFooter differentFirst="1">
    <oddFooter>Page &amp;P of &amp;N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0" tint="-0.249977111117893"/>
    <pageSetUpPr fitToPage="1"/>
  </sheetPr>
  <dimension ref="B1:F21"/>
  <sheetViews>
    <sheetView showGridLines="0" topLeftCell="A7" workbookViewId="0">
      <selection activeCell="D13" sqref="D13"/>
    </sheetView>
  </sheetViews>
  <sheetFormatPr baseColWidth="10" defaultColWidth="10.28515625" defaultRowHeight="30" customHeight="1" x14ac:dyDescent="0.25"/>
  <cols>
    <col min="1" max="1" width="3" style="114" customWidth="1"/>
    <col min="2" max="2" width="56.140625" style="114" customWidth="1"/>
    <col min="3" max="3" width="21.140625" style="114" customWidth="1"/>
    <col min="4" max="4" width="13.85546875" style="114" customWidth="1"/>
    <col min="5" max="5" width="3" style="114" customWidth="1"/>
    <col min="6" max="16384" width="10.28515625" style="114"/>
  </cols>
  <sheetData>
    <row r="1" spans="2:6" ht="34.5" customHeight="1" x14ac:dyDescent="0.55000000000000004">
      <c r="B1" s="183"/>
      <c r="C1" s="532" t="s">
        <v>104</v>
      </c>
      <c r="D1" s="532"/>
    </row>
    <row r="2" spans="2:6" ht="30" customHeight="1" x14ac:dyDescent="0.25">
      <c r="B2" s="182"/>
    </row>
    <row r="3" spans="2:6" ht="30" customHeight="1" x14ac:dyDescent="0.25">
      <c r="B3" s="114" t="s">
        <v>155</v>
      </c>
      <c r="C3" s="181" t="s">
        <v>137</v>
      </c>
      <c r="D3" s="184">
        <v>44562</v>
      </c>
    </row>
    <row r="4" spans="2:6" ht="15" customHeight="1" x14ac:dyDescent="0.25">
      <c r="B4" s="114" t="s">
        <v>156</v>
      </c>
      <c r="C4" s="181" t="s">
        <v>102</v>
      </c>
      <c r="D4" s="180">
        <v>87</v>
      </c>
    </row>
    <row r="5" spans="2:6" ht="30" customHeight="1" x14ac:dyDescent="0.25">
      <c r="B5" s="176" t="s">
        <v>157</v>
      </c>
      <c r="C5" s="179"/>
      <c r="D5" s="178"/>
    </row>
    <row r="6" spans="2:6" ht="30" customHeight="1" x14ac:dyDescent="0.25">
      <c r="B6" s="177" t="s">
        <v>147</v>
      </c>
    </row>
    <row r="7" spans="2:6" ht="15" customHeight="1" x14ac:dyDescent="0.25">
      <c r="B7" s="173" t="s">
        <v>453</v>
      </c>
    </row>
    <row r="8" spans="2:6" ht="15" customHeight="1" x14ac:dyDescent="0.25">
      <c r="B8" s="173" t="s">
        <v>430</v>
      </c>
    </row>
    <row r="9" spans="2:6" ht="15" customHeight="1" x14ac:dyDescent="0.25">
      <c r="B9" s="173" t="s">
        <v>148</v>
      </c>
    </row>
    <row r="10" spans="2:6" ht="15" customHeight="1" x14ac:dyDescent="0.25">
      <c r="B10" s="173" t="s">
        <v>149</v>
      </c>
    </row>
    <row r="11" spans="2:6" ht="30" customHeight="1" x14ac:dyDescent="0.25">
      <c r="B11" s="176" t="s">
        <v>150</v>
      </c>
    </row>
    <row r="12" spans="2:6" ht="30" customHeight="1" x14ac:dyDescent="0.25">
      <c r="B12" s="186" t="s">
        <v>115</v>
      </c>
      <c r="C12" s="185" t="s">
        <v>105</v>
      </c>
      <c r="D12" s="186" t="s">
        <v>126</v>
      </c>
    </row>
    <row r="13" spans="2:6" ht="30" customHeight="1" x14ac:dyDescent="0.25">
      <c r="B13" s="175" t="s">
        <v>151</v>
      </c>
      <c r="C13" s="175"/>
      <c r="D13" s="174">
        <v>21.8</v>
      </c>
      <c r="F13" s="443"/>
    </row>
    <row r="14" spans="2:6" ht="30" customHeight="1" x14ac:dyDescent="0.25">
      <c r="B14" s="175" t="s">
        <v>152</v>
      </c>
      <c r="C14" s="175"/>
      <c r="D14" s="174">
        <v>18</v>
      </c>
      <c r="F14" s="444"/>
    </row>
    <row r="15" spans="2:6" ht="30" customHeight="1" x14ac:dyDescent="0.25">
      <c r="B15" s="175" t="s">
        <v>153</v>
      </c>
      <c r="C15" s="175"/>
      <c r="D15" s="174">
        <v>80.45</v>
      </c>
      <c r="F15" s="444"/>
    </row>
    <row r="16" spans="2:6" ht="30" customHeight="1" x14ac:dyDescent="0.25">
      <c r="B16" s="209" t="s">
        <v>14</v>
      </c>
      <c r="C16" s="175"/>
      <c r="D16" s="210">
        <f>SUM(D13:D15)</f>
        <v>120.25</v>
      </c>
      <c r="F16" s="444"/>
    </row>
    <row r="17" spans="2:6" ht="30" customHeight="1" x14ac:dyDescent="0.25">
      <c r="B17" s="208" t="s">
        <v>154</v>
      </c>
      <c r="C17" s="175"/>
      <c r="D17" s="187">
        <f>D16*0.21</f>
        <v>25.252499999999998</v>
      </c>
      <c r="F17" s="444"/>
    </row>
    <row r="18" spans="2:6" ht="30" customHeight="1" x14ac:dyDescent="0.25">
      <c r="B18" s="188"/>
      <c r="C18" s="212" t="s">
        <v>158</v>
      </c>
      <c r="D18" s="211">
        <f>D16+D17</f>
        <v>145.5025</v>
      </c>
      <c r="F18" s="444"/>
    </row>
    <row r="19" spans="2:6" ht="30" customHeight="1" x14ac:dyDescent="0.25">
      <c r="B19" s="114" t="str">
        <f>"Establezca que todos los cheques se paguen a "&amp;Nombre_empresa&amp;""</f>
        <v xml:space="preserve">Establezca que todos los cheques se paguen a </v>
      </c>
      <c r="C19" s="173"/>
      <c r="D19" s="173"/>
    </row>
    <row r="20" spans="2:6" ht="30" customHeight="1" x14ac:dyDescent="0.25">
      <c r="B20" s="533" t="s">
        <v>146</v>
      </c>
      <c r="C20" s="533"/>
      <c r="D20" s="533"/>
    </row>
    <row r="21" spans="2:6" ht="30" customHeight="1" x14ac:dyDescent="0.25">
      <c r="B21" s="156" t="s">
        <v>138</v>
      </c>
      <c r="C21" s="156"/>
      <c r="D21" s="156"/>
    </row>
  </sheetData>
  <mergeCells count="2">
    <mergeCell ref="C1:D1"/>
    <mergeCell ref="B20:D20"/>
  </mergeCells>
  <dataValidations xWindow="264" yWindow="327" count="24">
    <dataValidation allowBlank="1" showInputMessage="1" showErrorMessage="1" prompt="El título de esta hoja de cálculo se encuentra en esta celda. Escriba los detalles de la factura en las celdas C3 a D5." sqref="C1:D1" xr:uid="{00000000-0002-0000-1200-000000000000}"/>
    <dataValidation allowBlank="1" showInputMessage="1" showErrorMessage="1" prompt="Cree una factura que calcule el total en esta hoja de cálculo. Escriba los detalles de la empresa y del cliente, y las descripciones y los importes en la tabla de Factura. El total adeudado se calcula automáticamente." sqref="A1" xr:uid="{00000000-0002-0000-1200-000001000000}"/>
    <dataValidation allowBlank="1" showInputMessage="1" showErrorMessage="1" prompt="Escriba el nombre de la empresa que factura en esta celda y el lema en la celda siguiente." sqref="B1" xr:uid="{00000000-0002-0000-1200-000002000000}"/>
    <dataValidation allowBlank="1" showInputMessage="1" showErrorMessage="1" prompt="Escriba la fecha de la factura en esta celda." sqref="D3" xr:uid="{00000000-0002-0000-1200-000003000000}"/>
    <dataValidation allowBlank="1" showInputMessage="1" showErrorMessage="1" prompt="Escriba la fecha de la factura en la celda de la derecha." sqref="C3" xr:uid="{00000000-0002-0000-1200-000004000000}"/>
    <dataValidation allowBlank="1" showInputMessage="1" showErrorMessage="1" prompt="Escriba el número de factura en esta celda." sqref="D4" xr:uid="{00000000-0002-0000-1200-000005000000}"/>
    <dataValidation allowBlank="1" showInputMessage="1" showErrorMessage="1" prompt="Escriba el número de factura en la celda de la derecha." sqref="C4" xr:uid="{00000000-0002-0000-1200-000006000000}"/>
    <dataValidation allowBlank="1" showInputMessage="1" showErrorMessage="1" prompt="Escriba la descripción del producto de la factura en la celda de la derecha." sqref="C5" xr:uid="{00000000-0002-0000-1200-000007000000}"/>
    <dataValidation allowBlank="1" showInputMessage="1" showErrorMessage="1" prompt="Escriba la descripción del producto de la factura en esta celda." sqref="D5" xr:uid="{00000000-0002-0000-1200-000008000000}"/>
    <dataValidation allowBlank="1" showInputMessage="1" showErrorMessage="1" prompt="Escriba el lema de la empresa en esta celda y la dirección de la empresa en las celdas siguientes." sqref="B2" xr:uid="{00000000-0002-0000-1200-000009000000}"/>
    <dataValidation allowBlank="1" showInputMessage="1" showErrorMessage="1" prompt="Escriba la dirección de la empresa que factura en esta celda." sqref="B3" xr:uid="{00000000-0002-0000-1200-00000A000000}"/>
    <dataValidation allowBlank="1" showInputMessage="1" showErrorMessage="1" prompt="Escriba la ciudad, el estado o la provincia y el código postal en esta celda." sqref="B4" xr:uid="{00000000-0002-0000-1200-00000B000000}"/>
    <dataValidation allowBlank="1" showInputMessage="1" showErrorMessage="1" prompt="Escriba en esta celda los números de teléfono y fax entre corchetes." sqref="B5" xr:uid="{00000000-0002-0000-1200-00000C000000}"/>
    <dataValidation allowBlank="1" showInputMessage="1" showErrorMessage="1" prompt="Escriba el nombre del cliente, el nombre de la empresa, la dirección y el número de teléfono en las celdas siguientes." sqref="B6" xr:uid="{00000000-0002-0000-1200-00000D000000}"/>
    <dataValidation allowBlank="1" showInputMessage="1" showErrorMessage="1" prompt="Escriba el número de teléfono del cliente en esta celda." sqref="B11" xr:uid="{00000000-0002-0000-1200-00000E000000}"/>
    <dataValidation allowBlank="1" showInputMessage="1" showErrorMessage="1" prompt="Escriba la ciudad, el estado y el código postal del cliente en esta celda." sqref="B10" xr:uid="{00000000-0002-0000-1200-00000F000000}"/>
    <dataValidation allowBlank="1" showInputMessage="1" showErrorMessage="1" prompt="Escriba la dirección del cliente en esta celda." sqref="B9" xr:uid="{00000000-0002-0000-1200-000010000000}"/>
    <dataValidation allowBlank="1" showInputMessage="1" showErrorMessage="1" prompt="Escriba el nombre de la empresa en esta celda." sqref="B8" xr:uid="{00000000-0002-0000-1200-000011000000}"/>
    <dataValidation allowBlank="1" showInputMessage="1" showErrorMessage="1" prompt="Escriba el nombre del cliente en esta celda." sqref="B7" xr:uid="{00000000-0002-0000-1200-000012000000}"/>
    <dataValidation allowBlank="1" showInputMessage="1" showErrorMessage="1" prompt="Escriba la descripción de la factura en la columna con este encabezado." sqref="B12" xr:uid="{00000000-0002-0000-1200-000013000000}"/>
    <dataValidation allowBlank="1" showInputMessage="1" showErrorMessage="1" prompt="Escriba el campo personalizado en este encabezado y los datos correspondientes en la columna con este encabezado." sqref="C12" xr:uid="{00000000-0002-0000-1200-000014000000}"/>
    <dataValidation allowBlank="1" showInputMessage="1" showErrorMessage="1" prompt="Escriba el importe en la columna con este encabezado para cada descripción de la columna B. La última celda de la tabla contiene el importe adeudado." sqref="D12" xr:uid="{00000000-0002-0000-1200-000015000000}"/>
    <dataValidation allowBlank="1" showInputMessage="1" showErrorMessage="1" prompt="Escriba en esta celda el nombre de contacto, número de teléfono y correo electrónico de la empresa que factura." sqref="B20:D20" xr:uid="{00000000-0002-0000-1200-000016000000}"/>
    <dataValidation allowBlank="1" showInputMessage="1" showErrorMessage="1" prompt="El nombre de la empresa se anexa automáticamente en esta celda." sqref="B19" xr:uid="{00000000-0002-0000-1200-000017000000}"/>
  </dataValidations>
  <printOptions horizontalCentered="1"/>
  <pageMargins left="0.5" right="0.5" top="0.5" bottom="0.5" header="0.5" footer="0.5"/>
  <pageSetup scale="93" fitToHeight="0" orientation="portrait" r:id="rId1"/>
  <headerFooter differentFirst="1">
    <oddFooter>Page &amp;P of &amp;N</oddFooter>
  </headerFooter>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8"/>
    <pageSetUpPr fitToPage="1"/>
  </sheetPr>
  <dimension ref="B1:D24"/>
  <sheetViews>
    <sheetView showGridLines="0" topLeftCell="A13" zoomScaleNormal="100" workbookViewId="0">
      <selection activeCell="D17" sqref="D17"/>
    </sheetView>
  </sheetViews>
  <sheetFormatPr baseColWidth="10" defaultColWidth="8.42578125" defaultRowHeight="30" customHeight="1" x14ac:dyDescent="0.25"/>
  <cols>
    <col min="1" max="1" width="2.7109375" style="189" customWidth="1"/>
    <col min="2" max="2" width="73.85546875" style="189" customWidth="1"/>
    <col min="3" max="3" width="21.28515625" style="189" customWidth="1"/>
    <col min="4" max="4" width="12" style="189" bestFit="1" customWidth="1"/>
    <col min="5" max="16384" width="8.42578125" style="189"/>
  </cols>
  <sheetData>
    <row r="1" spans="2:4" ht="60" customHeight="1" x14ac:dyDescent="0.5">
      <c r="B1" s="534" t="s">
        <v>64</v>
      </c>
      <c r="C1" s="534"/>
    </row>
    <row r="2" spans="2:4" ht="14.25" customHeight="1" x14ac:dyDescent="0.25">
      <c r="B2" s="193" t="s">
        <v>62</v>
      </c>
      <c r="C2" s="194" t="s">
        <v>168</v>
      </c>
      <c r="D2" s="195">
        <v>44562</v>
      </c>
    </row>
    <row r="3" spans="2:4" ht="15" x14ac:dyDescent="0.25">
      <c r="B3" s="191" t="s">
        <v>93</v>
      </c>
    </row>
    <row r="4" spans="2:4" ht="15" x14ac:dyDescent="0.25">
      <c r="B4" s="191" t="s">
        <v>167</v>
      </c>
    </row>
    <row r="5" spans="2:4" ht="15" x14ac:dyDescent="0.25">
      <c r="B5" s="192" t="s">
        <v>89</v>
      </c>
    </row>
    <row r="6" spans="2:4" ht="45" customHeight="1" x14ac:dyDescent="0.25">
      <c r="B6" s="191"/>
    </row>
    <row r="7" spans="2:4" ht="15" x14ac:dyDescent="0.25">
      <c r="B7" s="193" t="s">
        <v>147</v>
      </c>
    </row>
    <row r="8" spans="2:4" ht="15" x14ac:dyDescent="0.25">
      <c r="B8" s="191" t="s">
        <v>454</v>
      </c>
    </row>
    <row r="9" spans="2:4" ht="15" x14ac:dyDescent="0.25">
      <c r="B9" s="191" t="s">
        <v>455</v>
      </c>
    </row>
    <row r="10" spans="2:4" ht="15" x14ac:dyDescent="0.25">
      <c r="B10" s="191" t="s">
        <v>169</v>
      </c>
    </row>
    <row r="11" spans="2:4" ht="15" x14ac:dyDescent="0.25">
      <c r="B11" s="191" t="s">
        <v>170</v>
      </c>
    </row>
    <row r="12" spans="2:4" ht="15" x14ac:dyDescent="0.25">
      <c r="B12" s="192" t="s">
        <v>171</v>
      </c>
    </row>
    <row r="13" spans="2:4" ht="45" customHeight="1" x14ac:dyDescent="0.25">
      <c r="B13" s="191"/>
    </row>
    <row r="14" spans="2:4" ht="30" customHeight="1" x14ac:dyDescent="0.25">
      <c r="B14" s="196" t="s">
        <v>115</v>
      </c>
      <c r="C14" s="197" t="s">
        <v>126</v>
      </c>
    </row>
    <row r="15" spans="2:4" ht="30" customHeight="1" x14ac:dyDescent="0.25">
      <c r="B15" s="198" t="s">
        <v>172</v>
      </c>
      <c r="C15" s="199">
        <v>14.95</v>
      </c>
    </row>
    <row r="16" spans="2:4" ht="30" customHeight="1" x14ac:dyDescent="0.25">
      <c r="B16" s="200" t="s">
        <v>173</v>
      </c>
      <c r="C16" s="201">
        <v>210.5</v>
      </c>
    </row>
    <row r="17" spans="2:3" ht="30" customHeight="1" x14ac:dyDescent="0.25">
      <c r="B17" s="200" t="s">
        <v>456</v>
      </c>
      <c r="C17" s="201">
        <v>450</v>
      </c>
    </row>
    <row r="18" spans="2:3" ht="30" customHeight="1" x14ac:dyDescent="0.25">
      <c r="B18" s="202" t="s">
        <v>174</v>
      </c>
      <c r="C18" s="203">
        <v>350.78</v>
      </c>
    </row>
    <row r="20" spans="2:3" ht="30" customHeight="1" thickBot="1" x14ac:dyDescent="0.3"/>
    <row r="21" spans="2:3" ht="30" customHeight="1" thickTop="1" thickBot="1" x14ac:dyDescent="0.3">
      <c r="B21" s="204" t="s">
        <v>175</v>
      </c>
      <c r="C21" s="206">
        <f>SUM(C15:C18)</f>
        <v>1026.23</v>
      </c>
    </row>
    <row r="22" spans="2:3" ht="30" customHeight="1" thickTop="1" thickBot="1" x14ac:dyDescent="0.3">
      <c r="B22" s="204" t="s">
        <v>176</v>
      </c>
      <c r="C22" s="206">
        <f>C21*0.21</f>
        <v>215.50829999999999</v>
      </c>
    </row>
    <row r="23" spans="2:3" ht="30" customHeight="1" thickTop="1" x14ac:dyDescent="0.25">
      <c r="B23" s="205" t="s">
        <v>14</v>
      </c>
      <c r="C23" s="207">
        <f>C21+C22</f>
        <v>1241.7383</v>
      </c>
    </row>
    <row r="24" spans="2:3" ht="30" customHeight="1" x14ac:dyDescent="0.25">
      <c r="B24" s="190" t="s">
        <v>106</v>
      </c>
    </row>
  </sheetData>
  <mergeCells count="1">
    <mergeCell ref="B1:C1"/>
  </mergeCells>
  <dataValidations count="17">
    <dataValidation allowBlank="1" showInputMessage="1" showErrorMessage="1" prompt="El título de esta hoja de cálculo se encuentra en esta celda. Escriba los datos de la empresa que factura en las celdas siguientes." sqref="B1:C1" xr:uid="{00000000-0002-0000-1300-000000000000}"/>
    <dataValidation allowBlank="1" showInputMessage="1" showErrorMessage="1" prompt="Escriba el importe en la columna con este encabezado. El total adeudado se calcula automáticamente al final de la tabla." sqref="C14" xr:uid="{00000000-0002-0000-1300-000001000000}"/>
    <dataValidation allowBlank="1" showInputMessage="1" showErrorMessage="1" prompt="Escriba la descripción de la factura en la columna con este encabezado. Use filtros de encabezado para buscar entradas concretas." sqref="B14" xr:uid="{00000000-0002-0000-1300-000002000000}"/>
    <dataValidation allowBlank="1" showInputMessage="1" showErrorMessage="1" prompt="Escriba la dirección de correo electrónico del cliente en esta celda." sqref="B13" xr:uid="{00000000-0002-0000-1300-000003000000}"/>
    <dataValidation allowBlank="1" showInputMessage="1" showErrorMessage="1" prompt="Escriba el número de teléfono del cliente en esta celda." sqref="B12" xr:uid="{00000000-0002-0000-1300-000004000000}"/>
    <dataValidation allowBlank="1" showInputMessage="1" showErrorMessage="1" prompt="Escriba la ciudad, el estado y el código postal del cliente en esta celda." sqref="B11" xr:uid="{00000000-0002-0000-1300-000005000000}"/>
    <dataValidation allowBlank="1" showInputMessage="1" showErrorMessage="1" prompt="Escriba la dirección del cliente en esta celda." sqref="B10" xr:uid="{00000000-0002-0000-1300-000006000000}"/>
    <dataValidation allowBlank="1" showInputMessage="1" showErrorMessage="1" prompt="Escriba el nombre de la empresa del cliente en esta celda." sqref="B9" xr:uid="{00000000-0002-0000-1300-000007000000}"/>
    <dataValidation allowBlank="1" showInputMessage="1" showErrorMessage="1" prompt="Escriba el nombre del cliente en esta celda." sqref="B8" xr:uid="{00000000-0002-0000-1300-000008000000}"/>
    <dataValidation allowBlank="1" showInputMessage="1" showErrorMessage="1" prompt="Escriba el nombre del cliente, el nombre de la empresa, la dirección, la ciudad, el estado o la provincia, el código postal, el número de teléfono y la dirección de correo electrónico en las celdas siguientes." sqref="B7" xr:uid="{00000000-0002-0000-1300-000009000000}"/>
    <dataValidation allowBlank="1" showInputMessage="1" showErrorMessage="1" prompt="Escriba la dirección de correo electrónico de la empresa que factura en esta celda." sqref="B6" xr:uid="{00000000-0002-0000-1300-00000A000000}"/>
    <dataValidation allowBlank="1" showInputMessage="1" showErrorMessage="1" prompt="Escriba el número de teléfono de la empresa que factura en esta celda." sqref="B5" xr:uid="{00000000-0002-0000-1300-00000B000000}"/>
    <dataValidation allowBlank="1" showInputMessage="1" showErrorMessage="1" prompt="Escriba la ciudad, el estado o la provincia y el código postal de la empresa que factura en esta celda." sqref="B4" xr:uid="{00000000-0002-0000-1300-00000C000000}"/>
    <dataValidation allowBlank="1" showInputMessage="1" showErrorMessage="1" prompt="Escriba la dirección de la empresa que factura en esta celda." sqref="B3" xr:uid="{00000000-0002-0000-1300-00000D000000}"/>
    <dataValidation allowBlank="1" showInputMessage="1" showErrorMessage="1" prompt="Escriba la fecha de la factura en esta celda." sqref="C2" xr:uid="{00000000-0002-0000-1300-00000E000000}"/>
    <dataValidation allowBlank="1" showInputMessage="1" showErrorMessage="1" prompt="Escriba el nombre de la empresa en esta celda, la dirección de la empresa en las celdas siguientes, y la fecha de la factura en la celda de la derecha." sqref="B2" xr:uid="{00000000-0002-0000-1300-00000F000000}"/>
    <dataValidation allowBlank="1" showInputMessage="1" showErrorMessage="1" prompt="Cree una factura simple que calcule el total en esta hoja de cálculo. Escriba los detalles de la empresa y del cliente, y los detalles de la factura en la tabla de Factura. El total adeudado se calcula automáticamente." sqref="A1" xr:uid="{00000000-0002-0000-1300-000010000000}"/>
  </dataValidations>
  <printOptions horizontalCentered="1"/>
  <pageMargins left="0.5" right="0.5" top="0.75" bottom="0.75" header="0.3" footer="0.3"/>
  <pageSetup scale="80" fitToHeight="0" orientation="portrait" r:id="rId1"/>
  <headerFooter differentFirst="1">
    <oddFooter>Page &amp;P of &amp;N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V312"/>
  <sheetViews>
    <sheetView showGridLines="0" topLeftCell="A60" workbookViewId="0">
      <selection activeCell="Y54" sqref="Y54:Y55"/>
    </sheetView>
  </sheetViews>
  <sheetFormatPr baseColWidth="10" defaultRowHeight="15" x14ac:dyDescent="0.25"/>
  <cols>
    <col min="1" max="1" width="4.7109375" customWidth="1"/>
    <col min="2" max="2" width="5.28515625" customWidth="1"/>
    <col min="3" max="3" width="4.28515625" customWidth="1"/>
    <col min="4" max="4" width="4.140625" customWidth="1"/>
    <col min="5" max="5" width="4.85546875" customWidth="1"/>
    <col min="6" max="6" width="6.140625" customWidth="1"/>
    <col min="7" max="7" width="5.85546875" customWidth="1"/>
    <col min="8" max="8" width="4.140625" customWidth="1"/>
    <col min="9" max="9" width="3" customWidth="1"/>
    <col min="10" max="10" width="6.140625" customWidth="1"/>
    <col min="11" max="11" width="6.28515625" customWidth="1"/>
    <col min="12" max="12" width="4.42578125" customWidth="1"/>
    <col min="13" max="13" width="4.140625" customWidth="1"/>
    <col min="14" max="14" width="6.85546875" customWidth="1"/>
    <col min="15" max="15" width="9.5703125" customWidth="1"/>
    <col min="16" max="16" width="7.28515625" customWidth="1"/>
    <col min="17" max="17" width="9.85546875" customWidth="1"/>
    <col min="18" max="18" width="11.7109375" customWidth="1"/>
    <col min="19" max="19" width="4.28515625" customWidth="1"/>
    <col min="20" max="20" width="29.42578125" customWidth="1"/>
    <col min="21" max="21" width="6.140625" customWidth="1"/>
    <col min="22" max="22" width="6.7109375" customWidth="1"/>
  </cols>
  <sheetData>
    <row r="1" spans="1:22" x14ac:dyDescent="0.25">
      <c r="A1" s="296"/>
      <c r="B1" s="296"/>
      <c r="C1" s="296"/>
      <c r="D1" s="296"/>
      <c r="E1" s="296"/>
      <c r="F1" s="296"/>
      <c r="G1" s="296"/>
      <c r="H1" s="296"/>
      <c r="I1" s="296"/>
      <c r="J1" s="296"/>
      <c r="K1" s="296"/>
      <c r="L1" s="296"/>
      <c r="M1" s="296"/>
      <c r="N1" s="296"/>
      <c r="O1" s="296"/>
      <c r="P1" s="296"/>
      <c r="Q1" s="296"/>
      <c r="R1" s="296"/>
      <c r="S1" s="296"/>
      <c r="T1" s="296"/>
      <c r="U1" s="296"/>
      <c r="V1" s="296"/>
    </row>
    <row r="2" spans="1:22" x14ac:dyDescent="0.25">
      <c r="A2" s="296"/>
      <c r="B2" s="538" t="s">
        <v>330</v>
      </c>
      <c r="C2" s="539"/>
      <c r="D2" s="539"/>
      <c r="E2" s="539"/>
      <c r="F2" s="535" t="s">
        <v>458</v>
      </c>
      <c r="G2" s="535"/>
      <c r="H2" s="535"/>
      <c r="I2" s="535"/>
      <c r="J2" s="535"/>
      <c r="K2" s="535"/>
      <c r="L2" s="535"/>
      <c r="M2" s="318"/>
      <c r="N2" s="296"/>
      <c r="O2" s="331" t="s">
        <v>328</v>
      </c>
      <c r="P2" s="540" t="s">
        <v>338</v>
      </c>
      <c r="Q2" s="540"/>
      <c r="R2" s="540"/>
      <c r="S2" s="540"/>
      <c r="T2" s="540"/>
      <c r="U2" s="318"/>
      <c r="V2" s="296"/>
    </row>
    <row r="3" spans="1:22" x14ac:dyDescent="0.25">
      <c r="A3" s="296"/>
      <c r="B3" s="541" t="s">
        <v>326</v>
      </c>
      <c r="C3" s="537"/>
      <c r="D3" s="537"/>
      <c r="E3" s="537"/>
      <c r="F3" s="535" t="s">
        <v>325</v>
      </c>
      <c r="G3" s="535"/>
      <c r="H3" s="535"/>
      <c r="I3" s="535"/>
      <c r="J3" s="535"/>
      <c r="K3" s="535"/>
      <c r="L3" s="535"/>
      <c r="M3" s="300"/>
      <c r="N3" s="296"/>
      <c r="O3" s="307" t="s">
        <v>324</v>
      </c>
      <c r="P3" s="542" t="s">
        <v>332</v>
      </c>
      <c r="Q3" s="542"/>
      <c r="R3" s="542"/>
      <c r="S3" s="542"/>
      <c r="T3" s="542"/>
      <c r="U3" s="300"/>
      <c r="V3" s="296"/>
    </row>
    <row r="4" spans="1:22" x14ac:dyDescent="0.25">
      <c r="A4" s="296"/>
      <c r="B4" s="541" t="s">
        <v>322</v>
      </c>
      <c r="C4" s="537"/>
      <c r="D4" s="537"/>
      <c r="E4" s="537"/>
      <c r="F4" s="535" t="s">
        <v>321</v>
      </c>
      <c r="G4" s="535"/>
      <c r="H4" s="535"/>
      <c r="I4" s="535"/>
      <c r="J4" s="535"/>
      <c r="K4" s="535"/>
      <c r="L4" s="535"/>
      <c r="M4" s="300"/>
      <c r="N4" s="296"/>
      <c r="O4" s="307" t="s">
        <v>320</v>
      </c>
      <c r="P4" s="543" t="s">
        <v>331</v>
      </c>
      <c r="Q4" s="542"/>
      <c r="R4" s="542"/>
      <c r="S4" s="542"/>
      <c r="T4" s="542"/>
      <c r="U4" s="300"/>
      <c r="V4" s="296"/>
    </row>
    <row r="5" spans="1:22" x14ac:dyDescent="0.25">
      <c r="A5" s="296"/>
      <c r="B5" s="541" t="s">
        <v>318</v>
      </c>
      <c r="C5" s="537"/>
      <c r="D5" s="537"/>
      <c r="E5" s="537"/>
      <c r="F5" s="535" t="s">
        <v>317</v>
      </c>
      <c r="G5" s="535"/>
      <c r="H5" s="535"/>
      <c r="I5" s="535"/>
      <c r="J5" s="535"/>
      <c r="K5" s="535"/>
      <c r="L5" s="535"/>
      <c r="M5" s="300"/>
      <c r="N5" s="296"/>
      <c r="O5" s="307" t="s">
        <v>316</v>
      </c>
      <c r="P5" s="337"/>
      <c r="Q5" s="336" t="s">
        <v>337</v>
      </c>
      <c r="R5" s="336"/>
      <c r="S5" s="336"/>
      <c r="T5" s="336"/>
      <c r="U5" s="300"/>
      <c r="V5" s="296"/>
    </row>
    <row r="6" spans="1:22" x14ac:dyDescent="0.25">
      <c r="A6" s="296"/>
      <c r="B6" s="541" t="s">
        <v>315</v>
      </c>
      <c r="C6" s="537"/>
      <c r="D6" s="537"/>
      <c r="E6" s="537"/>
      <c r="F6" s="542" t="s">
        <v>314</v>
      </c>
      <c r="G6" s="542"/>
      <c r="H6" s="542"/>
      <c r="I6" s="542"/>
      <c r="J6" s="542"/>
      <c r="K6" s="542"/>
      <c r="L6" s="542"/>
      <c r="M6" s="300"/>
      <c r="N6" s="296"/>
      <c r="O6" s="307" t="s">
        <v>313</v>
      </c>
      <c r="P6" s="544" t="s">
        <v>336</v>
      </c>
      <c r="Q6" s="542"/>
      <c r="R6" s="542"/>
      <c r="S6" s="542"/>
      <c r="T6" s="542"/>
      <c r="U6" s="300"/>
      <c r="V6" s="296"/>
    </row>
    <row r="7" spans="1:22" x14ac:dyDescent="0.25">
      <c r="A7" s="296"/>
      <c r="B7" s="545"/>
      <c r="C7" s="546"/>
      <c r="D7" s="546"/>
      <c r="E7" s="546"/>
      <c r="F7" s="335"/>
      <c r="G7" s="335"/>
      <c r="H7" s="335"/>
      <c r="I7" s="335"/>
      <c r="J7" s="335"/>
      <c r="K7" s="335"/>
      <c r="L7" s="335"/>
      <c r="M7" s="297"/>
      <c r="N7" s="296"/>
      <c r="O7" s="299"/>
      <c r="P7" s="335"/>
      <c r="Q7" s="335"/>
      <c r="R7" s="335"/>
      <c r="S7" s="335"/>
      <c r="T7" s="335"/>
      <c r="U7" s="297"/>
      <c r="V7" s="296"/>
    </row>
    <row r="8" spans="1:22" x14ac:dyDescent="0.25">
      <c r="A8" s="296"/>
      <c r="B8" s="296"/>
      <c r="C8" s="296"/>
      <c r="D8" s="296"/>
      <c r="E8" s="296"/>
      <c r="F8" s="296"/>
      <c r="G8" s="296"/>
      <c r="H8" s="296"/>
      <c r="I8" s="296"/>
      <c r="J8" s="296"/>
      <c r="K8" s="296"/>
      <c r="L8" s="296"/>
      <c r="M8" s="296"/>
      <c r="N8" s="296"/>
      <c r="O8" s="296"/>
      <c r="P8" s="296"/>
      <c r="Q8" s="296"/>
      <c r="R8" s="296"/>
      <c r="S8" s="296"/>
      <c r="T8" s="296"/>
      <c r="U8" s="296"/>
      <c r="V8" s="296"/>
    </row>
    <row r="9" spans="1:22" x14ac:dyDescent="0.25">
      <c r="A9" s="296"/>
      <c r="B9" s="547" t="s">
        <v>312</v>
      </c>
      <c r="C9" s="548"/>
      <c r="D9" s="548"/>
      <c r="E9" s="548"/>
      <c r="F9" s="548"/>
      <c r="G9" s="328" t="s">
        <v>311</v>
      </c>
      <c r="H9" s="332">
        <v>2</v>
      </c>
      <c r="I9" s="328" t="s">
        <v>266</v>
      </c>
      <c r="J9" s="333" t="s">
        <v>0</v>
      </c>
      <c r="K9" s="334" t="s">
        <v>310</v>
      </c>
      <c r="L9" s="332">
        <v>31</v>
      </c>
      <c r="M9" s="328"/>
      <c r="N9" s="328" t="s">
        <v>266</v>
      </c>
      <c r="O9" s="333" t="s">
        <v>0</v>
      </c>
      <c r="P9" s="328" t="s">
        <v>266</v>
      </c>
      <c r="Q9" s="332">
        <v>2022</v>
      </c>
      <c r="R9" s="328" t="s">
        <v>309</v>
      </c>
      <c r="S9" s="328"/>
      <c r="T9" s="332">
        <v>30</v>
      </c>
      <c r="U9" s="318"/>
      <c r="V9" s="296"/>
    </row>
    <row r="10" spans="1:22" x14ac:dyDescent="0.25">
      <c r="A10" s="296"/>
      <c r="B10" s="299"/>
      <c r="C10" s="298"/>
      <c r="D10" s="298"/>
      <c r="E10" s="298"/>
      <c r="F10" s="298"/>
      <c r="G10" s="298"/>
      <c r="H10" s="298"/>
      <c r="I10" s="298"/>
      <c r="J10" s="298"/>
      <c r="K10" s="298"/>
      <c r="L10" s="298"/>
      <c r="M10" s="298"/>
      <c r="N10" s="298"/>
      <c r="O10" s="298"/>
      <c r="P10" s="298"/>
      <c r="Q10" s="298"/>
      <c r="R10" s="298"/>
      <c r="S10" s="298"/>
      <c r="T10" s="298"/>
      <c r="U10" s="297"/>
      <c r="V10" s="296"/>
    </row>
    <row r="11" spans="1:22" x14ac:dyDescent="0.25">
      <c r="A11" s="296"/>
      <c r="B11" s="296"/>
      <c r="C11" s="296"/>
      <c r="D11" s="296"/>
      <c r="E11" s="296"/>
      <c r="F11" s="296"/>
      <c r="G11" s="296"/>
      <c r="H11" s="296"/>
      <c r="I11" s="296"/>
      <c r="J11" s="296"/>
      <c r="K11" s="296"/>
      <c r="L11" s="296"/>
      <c r="M11" s="296"/>
      <c r="N11" s="296"/>
      <c r="O11" s="296"/>
      <c r="P11" s="296"/>
      <c r="Q11" s="296"/>
      <c r="R11" s="296"/>
      <c r="S11" s="296"/>
      <c r="T11" s="296"/>
      <c r="U11" s="296"/>
      <c r="V11" s="296"/>
    </row>
    <row r="12" spans="1:22" x14ac:dyDescent="0.25">
      <c r="A12" s="296"/>
      <c r="B12" s="331"/>
      <c r="C12" s="330" t="s">
        <v>308</v>
      </c>
      <c r="D12" s="330" t="s">
        <v>307</v>
      </c>
      <c r="E12" s="330"/>
      <c r="F12" s="330"/>
      <c r="G12" s="328"/>
      <c r="H12" s="328"/>
      <c r="I12" s="328"/>
      <c r="J12" s="328"/>
      <c r="K12" s="328"/>
      <c r="L12" s="328"/>
      <c r="M12" s="328"/>
      <c r="N12" s="328"/>
      <c r="O12" s="328"/>
      <c r="P12" s="329" t="s">
        <v>126</v>
      </c>
      <c r="Q12" s="328"/>
      <c r="R12" s="328"/>
      <c r="S12" s="328"/>
      <c r="T12" s="327" t="s">
        <v>306</v>
      </c>
      <c r="U12" s="318"/>
      <c r="V12" s="296"/>
    </row>
    <row r="13" spans="1:22" x14ac:dyDescent="0.25">
      <c r="A13" s="296"/>
      <c r="B13" s="307"/>
      <c r="C13" s="313" t="s">
        <v>305</v>
      </c>
      <c r="D13" s="313" t="s">
        <v>304</v>
      </c>
      <c r="E13" s="301"/>
      <c r="F13" s="301"/>
      <c r="G13" s="301"/>
      <c r="H13" s="301"/>
      <c r="I13" s="301"/>
      <c r="J13" s="301"/>
      <c r="K13" s="301"/>
      <c r="L13" s="301"/>
      <c r="M13" s="301"/>
      <c r="N13" s="301"/>
      <c r="O13" s="301"/>
      <c r="P13" s="301"/>
      <c r="Q13" s="301"/>
      <c r="R13" s="301"/>
      <c r="S13" s="301"/>
      <c r="T13" s="301"/>
      <c r="U13" s="300"/>
      <c r="V13" s="296"/>
    </row>
    <row r="14" spans="1:22" x14ac:dyDescent="0.25">
      <c r="A14" s="296"/>
      <c r="B14" s="307"/>
      <c r="C14" s="301"/>
      <c r="D14" s="537" t="s">
        <v>303</v>
      </c>
      <c r="E14" s="537"/>
      <c r="F14" s="537"/>
      <c r="G14" s="537"/>
      <c r="H14" s="537"/>
      <c r="I14" s="537"/>
      <c r="J14" s="537"/>
      <c r="K14" s="537"/>
      <c r="L14" s="537"/>
      <c r="M14" s="537"/>
      <c r="N14" s="537"/>
      <c r="O14" s="537"/>
      <c r="P14" s="549">
        <v>2850.5</v>
      </c>
      <c r="Q14" s="549"/>
      <c r="R14" s="549"/>
      <c r="S14" s="301"/>
      <c r="T14" s="301"/>
      <c r="U14" s="300"/>
      <c r="V14" s="296"/>
    </row>
    <row r="15" spans="1:22" x14ac:dyDescent="0.25">
      <c r="A15" s="296"/>
      <c r="B15" s="307"/>
      <c r="C15" s="301"/>
      <c r="D15" s="301" t="s">
        <v>302</v>
      </c>
      <c r="E15" s="301"/>
      <c r="F15" s="301"/>
      <c r="G15" s="301"/>
      <c r="H15" s="301"/>
      <c r="I15" s="301"/>
      <c r="J15" s="301"/>
      <c r="K15" s="301"/>
      <c r="L15" s="301"/>
      <c r="M15" s="301"/>
      <c r="N15" s="301"/>
      <c r="O15" s="301"/>
      <c r="P15" s="550"/>
      <c r="Q15" s="550"/>
      <c r="R15" s="550"/>
      <c r="S15" s="301"/>
      <c r="T15" s="301"/>
      <c r="U15" s="300"/>
      <c r="V15" s="296"/>
    </row>
    <row r="16" spans="1:22" x14ac:dyDescent="0.25">
      <c r="A16" s="296"/>
      <c r="B16" s="307"/>
      <c r="C16" s="301"/>
      <c r="D16" s="301"/>
      <c r="E16" s="551"/>
      <c r="F16" s="551"/>
      <c r="G16" s="551"/>
      <c r="H16" s="551"/>
      <c r="I16" s="551"/>
      <c r="J16" s="551"/>
      <c r="K16" s="551"/>
      <c r="L16" s="551"/>
      <c r="M16" s="551"/>
      <c r="N16" s="551"/>
      <c r="O16" s="301" t="s">
        <v>290</v>
      </c>
      <c r="P16" s="549"/>
      <c r="Q16" s="549"/>
      <c r="R16" s="549"/>
      <c r="S16" s="301"/>
      <c r="T16" s="301"/>
      <c r="U16" s="300"/>
      <c r="V16" s="296"/>
    </row>
    <row r="17" spans="1:22" x14ac:dyDescent="0.25">
      <c r="A17" s="296"/>
      <c r="B17" s="307"/>
      <c r="C17" s="301"/>
      <c r="D17" s="301"/>
      <c r="E17" s="535"/>
      <c r="F17" s="535"/>
      <c r="G17" s="535"/>
      <c r="H17" s="535"/>
      <c r="I17" s="535"/>
      <c r="J17" s="535"/>
      <c r="K17" s="535"/>
      <c r="L17" s="535"/>
      <c r="M17" s="535"/>
      <c r="N17" s="535"/>
      <c r="O17" s="301" t="s">
        <v>290</v>
      </c>
      <c r="P17" s="536"/>
      <c r="Q17" s="536"/>
      <c r="R17" s="536"/>
      <c r="S17" s="301"/>
      <c r="T17" s="301"/>
      <c r="U17" s="300"/>
      <c r="V17" s="296"/>
    </row>
    <row r="18" spans="1:22" x14ac:dyDescent="0.25">
      <c r="A18" s="296"/>
      <c r="B18" s="307"/>
      <c r="C18" s="301"/>
      <c r="D18" s="301"/>
      <c r="E18" s="535"/>
      <c r="F18" s="535"/>
      <c r="G18" s="535"/>
      <c r="H18" s="535"/>
      <c r="I18" s="535"/>
      <c r="J18" s="535"/>
      <c r="K18" s="535"/>
      <c r="L18" s="535"/>
      <c r="M18" s="535"/>
      <c r="N18" s="535"/>
      <c r="O18" s="301" t="s">
        <v>290</v>
      </c>
      <c r="P18" s="536"/>
      <c r="Q18" s="536"/>
      <c r="R18" s="536"/>
      <c r="S18" s="301"/>
      <c r="T18" s="301"/>
      <c r="U18" s="300"/>
      <c r="V18" s="296"/>
    </row>
    <row r="19" spans="1:22" x14ac:dyDescent="0.25">
      <c r="A19" s="296"/>
      <c r="B19" s="307"/>
      <c r="C19" s="301"/>
      <c r="D19" s="537" t="s">
        <v>301</v>
      </c>
      <c r="E19" s="537"/>
      <c r="F19" s="537"/>
      <c r="G19" s="537"/>
      <c r="H19" s="537"/>
      <c r="I19" s="537"/>
      <c r="J19" s="537"/>
      <c r="K19" s="537"/>
      <c r="L19" s="537"/>
      <c r="M19" s="537"/>
      <c r="N19" s="537"/>
      <c r="O19" s="537"/>
      <c r="P19" s="536"/>
      <c r="Q19" s="536"/>
      <c r="R19" s="536"/>
      <c r="S19" s="301"/>
      <c r="T19" s="301"/>
      <c r="U19" s="300"/>
      <c r="V19" s="296"/>
    </row>
    <row r="20" spans="1:22" x14ac:dyDescent="0.25">
      <c r="A20" s="296"/>
      <c r="B20" s="307"/>
      <c r="C20" s="301"/>
      <c r="D20" s="537" t="s">
        <v>300</v>
      </c>
      <c r="E20" s="537"/>
      <c r="F20" s="537"/>
      <c r="G20" s="537"/>
      <c r="H20" s="537"/>
      <c r="I20" s="537"/>
      <c r="J20" s="537"/>
      <c r="K20" s="537"/>
      <c r="L20" s="537"/>
      <c r="M20" s="537"/>
      <c r="N20" s="537"/>
      <c r="O20" s="537"/>
      <c r="P20" s="536"/>
      <c r="Q20" s="536"/>
      <c r="R20" s="536"/>
      <c r="S20" s="301"/>
      <c r="T20" s="301"/>
      <c r="U20" s="300"/>
      <c r="V20" s="296"/>
    </row>
    <row r="21" spans="1:22" x14ac:dyDescent="0.25">
      <c r="A21" s="296"/>
      <c r="B21" s="307"/>
      <c r="C21" s="301"/>
      <c r="D21" s="553" t="s">
        <v>299</v>
      </c>
      <c r="E21" s="553"/>
      <c r="F21" s="553"/>
      <c r="G21" s="553"/>
      <c r="H21" s="553"/>
      <c r="I21" s="553"/>
      <c r="J21" s="553"/>
      <c r="K21" s="553"/>
      <c r="L21" s="553"/>
      <c r="M21" s="553"/>
      <c r="N21" s="553"/>
      <c r="O21" s="553"/>
      <c r="P21" s="536"/>
      <c r="Q21" s="536"/>
      <c r="R21" s="536"/>
      <c r="S21" s="301"/>
      <c r="T21" s="301"/>
      <c r="U21" s="300"/>
      <c r="V21" s="296"/>
    </row>
    <row r="22" spans="1:22" x14ac:dyDescent="0.25">
      <c r="A22" s="296"/>
      <c r="B22" s="307"/>
      <c r="C22" s="301"/>
      <c r="D22" s="537" t="s">
        <v>298</v>
      </c>
      <c r="E22" s="537"/>
      <c r="F22" s="537"/>
      <c r="G22" s="537"/>
      <c r="H22" s="537"/>
      <c r="I22" s="537"/>
      <c r="J22" s="537"/>
      <c r="K22" s="537"/>
      <c r="L22" s="537"/>
      <c r="M22" s="537"/>
      <c r="N22" s="537"/>
      <c r="O22" s="537"/>
      <c r="P22" s="536">
        <v>150</v>
      </c>
      <c r="Q22" s="536"/>
      <c r="R22" s="536"/>
      <c r="S22" s="301"/>
      <c r="T22" s="301"/>
      <c r="U22" s="300"/>
      <c r="V22" s="296"/>
    </row>
    <row r="23" spans="1:22" x14ac:dyDescent="0.25">
      <c r="A23" s="296"/>
      <c r="B23" s="307"/>
      <c r="C23" s="301"/>
      <c r="D23" s="537" t="s">
        <v>297</v>
      </c>
      <c r="E23" s="537"/>
      <c r="F23" s="537"/>
      <c r="G23" s="537"/>
      <c r="H23" s="537"/>
      <c r="I23" s="537"/>
      <c r="J23" s="537"/>
      <c r="K23" s="537"/>
      <c r="L23" s="537"/>
      <c r="M23" s="537"/>
      <c r="N23" s="537"/>
      <c r="O23" s="537"/>
      <c r="P23" s="536"/>
      <c r="Q23" s="536"/>
      <c r="R23" s="536"/>
      <c r="S23" s="301"/>
      <c r="T23" s="301"/>
      <c r="U23" s="300"/>
      <c r="V23" s="296"/>
    </row>
    <row r="24" spans="1:22" x14ac:dyDescent="0.25">
      <c r="A24" s="296"/>
      <c r="B24" s="307"/>
      <c r="C24" s="301"/>
      <c r="D24" s="301"/>
      <c r="E24" s="301"/>
      <c r="F24" s="301"/>
      <c r="G24" s="301"/>
      <c r="H24" s="301"/>
      <c r="I24" s="301"/>
      <c r="J24" s="301"/>
      <c r="K24" s="301"/>
      <c r="L24" s="301"/>
      <c r="M24" s="301"/>
      <c r="N24" s="301"/>
      <c r="O24" s="301"/>
      <c r="P24" s="301"/>
      <c r="Q24" s="301"/>
      <c r="R24" s="301"/>
      <c r="S24" s="301"/>
      <c r="T24" s="301"/>
      <c r="U24" s="300"/>
      <c r="V24" s="296"/>
    </row>
    <row r="25" spans="1:22" x14ac:dyDescent="0.25">
      <c r="A25" s="296"/>
      <c r="B25" s="307"/>
      <c r="C25" s="313" t="s">
        <v>296</v>
      </c>
      <c r="D25" s="313" t="s">
        <v>295</v>
      </c>
      <c r="E25" s="301"/>
      <c r="F25" s="301"/>
      <c r="G25" s="301"/>
      <c r="H25" s="301"/>
      <c r="I25" s="301"/>
      <c r="J25" s="301"/>
      <c r="K25" s="301"/>
      <c r="L25" s="301"/>
      <c r="M25" s="301"/>
      <c r="N25" s="301"/>
      <c r="O25" s="301"/>
      <c r="P25" s="301"/>
      <c r="Q25" s="301"/>
      <c r="R25" s="301"/>
      <c r="S25" s="301"/>
      <c r="T25" s="301"/>
      <c r="U25" s="300"/>
      <c r="V25" s="296"/>
    </row>
    <row r="26" spans="1:22" x14ac:dyDescent="0.25">
      <c r="A26" s="296"/>
      <c r="B26" s="307"/>
      <c r="C26" s="301"/>
      <c r="D26" s="301" t="s">
        <v>294</v>
      </c>
      <c r="E26" s="301"/>
      <c r="F26" s="301"/>
      <c r="G26" s="301"/>
      <c r="H26" s="301"/>
      <c r="I26" s="301"/>
      <c r="J26" s="301"/>
      <c r="K26" s="301"/>
      <c r="L26" s="301"/>
      <c r="M26" s="301"/>
      <c r="N26" s="301"/>
      <c r="O26" s="301"/>
      <c r="P26" s="301"/>
      <c r="Q26" s="301"/>
      <c r="R26" s="301"/>
      <c r="S26" s="301"/>
      <c r="T26" s="301"/>
      <c r="U26" s="300"/>
      <c r="V26" s="296"/>
    </row>
    <row r="27" spans="1:22" x14ac:dyDescent="0.25">
      <c r="A27" s="296"/>
      <c r="B27" s="307"/>
      <c r="C27" s="301"/>
      <c r="D27" s="301"/>
      <c r="E27" s="551"/>
      <c r="F27" s="551"/>
      <c r="G27" s="551"/>
      <c r="H27" s="551"/>
      <c r="I27" s="551"/>
      <c r="J27" s="551"/>
      <c r="K27" s="551"/>
      <c r="L27" s="551"/>
      <c r="M27" s="551"/>
      <c r="N27" s="551"/>
      <c r="O27" s="301" t="s">
        <v>290</v>
      </c>
      <c r="P27" s="549"/>
      <c r="Q27" s="549"/>
      <c r="R27" s="549"/>
      <c r="S27" s="301"/>
      <c r="T27" s="301"/>
      <c r="U27" s="300"/>
      <c r="V27" s="296"/>
    </row>
    <row r="28" spans="1:22" x14ac:dyDescent="0.25">
      <c r="A28" s="296"/>
      <c r="B28" s="307"/>
      <c r="C28" s="301"/>
      <c r="D28" s="301"/>
      <c r="E28" s="535"/>
      <c r="F28" s="535"/>
      <c r="G28" s="535"/>
      <c r="H28" s="535"/>
      <c r="I28" s="535"/>
      <c r="J28" s="535"/>
      <c r="K28" s="535"/>
      <c r="L28" s="535"/>
      <c r="M28" s="535"/>
      <c r="N28" s="535"/>
      <c r="O28" s="301" t="s">
        <v>290</v>
      </c>
      <c r="P28" s="536"/>
      <c r="Q28" s="536"/>
      <c r="R28" s="536"/>
      <c r="S28" s="301"/>
      <c r="T28" s="301"/>
      <c r="U28" s="300"/>
      <c r="V28" s="296"/>
    </row>
    <row r="29" spans="1:22" x14ac:dyDescent="0.25">
      <c r="A29" s="296"/>
      <c r="B29" s="307"/>
      <c r="C29" s="301"/>
      <c r="D29" s="301"/>
      <c r="E29" s="535"/>
      <c r="F29" s="535"/>
      <c r="G29" s="535"/>
      <c r="H29" s="535"/>
      <c r="I29" s="535"/>
      <c r="J29" s="535"/>
      <c r="K29" s="535"/>
      <c r="L29" s="535"/>
      <c r="M29" s="535"/>
      <c r="N29" s="535"/>
      <c r="O29" s="301" t="s">
        <v>290</v>
      </c>
      <c r="P29" s="536"/>
      <c r="Q29" s="536"/>
      <c r="R29" s="536"/>
      <c r="S29" s="301"/>
      <c r="T29" s="301"/>
      <c r="U29" s="300"/>
      <c r="V29" s="296"/>
    </row>
    <row r="30" spans="1:22" x14ac:dyDescent="0.25">
      <c r="A30" s="296"/>
      <c r="B30" s="307"/>
      <c r="C30" s="301"/>
      <c r="D30" s="301" t="s">
        <v>293</v>
      </c>
      <c r="E30" s="301"/>
      <c r="F30" s="301"/>
      <c r="G30" s="301"/>
      <c r="H30" s="301"/>
      <c r="I30" s="301"/>
      <c r="J30" s="301"/>
      <c r="K30" s="301"/>
      <c r="L30" s="301"/>
      <c r="M30" s="301"/>
      <c r="N30" s="301"/>
      <c r="O30" s="301"/>
      <c r="P30" s="301"/>
      <c r="Q30" s="301"/>
      <c r="R30" s="301"/>
      <c r="S30" s="301"/>
      <c r="T30" s="301"/>
      <c r="U30" s="300"/>
      <c r="V30" s="296"/>
    </row>
    <row r="31" spans="1:22" x14ac:dyDescent="0.25">
      <c r="A31" s="296"/>
      <c r="B31" s="307"/>
      <c r="C31" s="301"/>
      <c r="D31" s="301"/>
      <c r="E31" s="551"/>
      <c r="F31" s="551"/>
      <c r="G31" s="551"/>
      <c r="H31" s="551"/>
      <c r="I31" s="551"/>
      <c r="J31" s="551"/>
      <c r="K31" s="551"/>
      <c r="L31" s="551"/>
      <c r="M31" s="551"/>
      <c r="N31" s="551"/>
      <c r="O31" s="301" t="s">
        <v>290</v>
      </c>
      <c r="P31" s="549"/>
      <c r="Q31" s="549"/>
      <c r="R31" s="549"/>
      <c r="S31" s="301"/>
      <c r="T31" s="301"/>
      <c r="U31" s="300"/>
      <c r="V31" s="296"/>
    </row>
    <row r="32" spans="1:22" x14ac:dyDescent="0.25">
      <c r="A32" s="296"/>
      <c r="B32" s="307"/>
      <c r="C32" s="301"/>
      <c r="D32" s="301" t="s">
        <v>292</v>
      </c>
      <c r="E32" s="301"/>
      <c r="F32" s="301"/>
      <c r="G32" s="301"/>
      <c r="H32" s="301"/>
      <c r="I32" s="301"/>
      <c r="J32" s="301"/>
      <c r="K32" s="301"/>
      <c r="L32" s="301"/>
      <c r="M32" s="301"/>
      <c r="N32" s="301"/>
      <c r="O32" s="301"/>
      <c r="P32" s="314"/>
      <c r="Q32" s="314"/>
      <c r="R32" s="314"/>
      <c r="S32" s="301"/>
      <c r="T32" s="301"/>
      <c r="U32" s="300"/>
      <c r="V32" s="296"/>
    </row>
    <row r="33" spans="1:22" x14ac:dyDescent="0.25">
      <c r="A33" s="296"/>
      <c r="B33" s="307"/>
      <c r="C33" s="301"/>
      <c r="D33" s="301"/>
      <c r="E33" s="551"/>
      <c r="F33" s="551"/>
      <c r="G33" s="551"/>
      <c r="H33" s="551"/>
      <c r="I33" s="551"/>
      <c r="J33" s="551"/>
      <c r="K33" s="551"/>
      <c r="L33" s="551"/>
      <c r="M33" s="551"/>
      <c r="N33" s="551"/>
      <c r="O33" s="301" t="s">
        <v>290</v>
      </c>
      <c r="P33" s="549"/>
      <c r="Q33" s="549"/>
      <c r="R33" s="549"/>
      <c r="S33" s="301"/>
      <c r="T33" s="301"/>
      <c r="U33" s="300"/>
      <c r="V33" s="296"/>
    </row>
    <row r="34" spans="1:22" x14ac:dyDescent="0.25">
      <c r="A34" s="296"/>
      <c r="B34" s="307"/>
      <c r="C34" s="301"/>
      <c r="D34" s="301" t="s">
        <v>291</v>
      </c>
      <c r="E34" s="301"/>
      <c r="F34" s="301"/>
      <c r="G34" s="301"/>
      <c r="H34" s="301"/>
      <c r="I34" s="301"/>
      <c r="J34" s="301"/>
      <c r="K34" s="301"/>
      <c r="L34" s="301"/>
      <c r="M34" s="301"/>
      <c r="N34" s="301"/>
      <c r="O34" s="301"/>
      <c r="P34" s="314"/>
      <c r="Q34" s="314"/>
      <c r="R34" s="314"/>
      <c r="S34" s="301"/>
      <c r="T34" s="301"/>
      <c r="U34" s="300"/>
      <c r="V34" s="296"/>
    </row>
    <row r="35" spans="1:22" x14ac:dyDescent="0.25">
      <c r="A35" s="296"/>
      <c r="B35" s="307"/>
      <c r="C35" s="301"/>
      <c r="D35" s="301"/>
      <c r="E35" s="551"/>
      <c r="F35" s="551"/>
      <c r="G35" s="551"/>
      <c r="H35" s="551"/>
      <c r="I35" s="551"/>
      <c r="J35" s="551"/>
      <c r="K35" s="551"/>
      <c r="L35" s="551"/>
      <c r="M35" s="551"/>
      <c r="N35" s="551"/>
      <c r="O35" s="301" t="s">
        <v>290</v>
      </c>
      <c r="P35" s="549"/>
      <c r="Q35" s="549"/>
      <c r="R35" s="549"/>
      <c r="S35" s="301"/>
      <c r="T35" s="301"/>
      <c r="U35" s="300"/>
      <c r="V35" s="296"/>
    </row>
    <row r="36" spans="1:22" x14ac:dyDescent="0.25">
      <c r="A36" s="296"/>
      <c r="B36" s="307"/>
      <c r="C36" s="301"/>
      <c r="D36" s="301"/>
      <c r="E36" s="301"/>
      <c r="F36" s="301"/>
      <c r="G36" s="301"/>
      <c r="H36" s="301"/>
      <c r="I36" s="301"/>
      <c r="J36" s="301"/>
      <c r="K36" s="301"/>
      <c r="L36" s="301"/>
      <c r="M36" s="301"/>
      <c r="N36" s="301"/>
      <c r="O36" s="301"/>
      <c r="P36" s="301"/>
      <c r="Q36" s="301"/>
      <c r="R36" s="301"/>
      <c r="S36" s="301"/>
      <c r="T36" s="301"/>
      <c r="U36" s="300"/>
      <c r="V36" s="296"/>
    </row>
    <row r="37" spans="1:22" x14ac:dyDescent="0.25">
      <c r="A37" s="296"/>
      <c r="B37" s="307"/>
      <c r="C37" s="301"/>
      <c r="D37" s="301"/>
      <c r="E37" s="301"/>
      <c r="F37" s="301"/>
      <c r="G37" s="301"/>
      <c r="H37" s="301"/>
      <c r="I37" s="301"/>
      <c r="J37" s="554" t="s">
        <v>289</v>
      </c>
      <c r="K37" s="554"/>
      <c r="L37" s="554"/>
      <c r="M37" s="554"/>
      <c r="N37" s="554"/>
      <c r="O37" s="554"/>
      <c r="P37" s="554"/>
      <c r="Q37" s="554"/>
      <c r="R37" s="554"/>
      <c r="T37" s="326">
        <f>P14+P22</f>
        <v>3000.5</v>
      </c>
      <c r="U37" s="300"/>
      <c r="V37" s="296"/>
    </row>
    <row r="38" spans="1:22" x14ac:dyDescent="0.25">
      <c r="A38" s="296"/>
      <c r="B38" s="307"/>
      <c r="C38" s="301"/>
      <c r="D38" s="301"/>
      <c r="E38" s="301"/>
      <c r="F38" s="301"/>
      <c r="G38" s="301"/>
      <c r="H38" s="301"/>
      <c r="I38" s="301"/>
      <c r="J38" s="301"/>
      <c r="K38" s="301"/>
      <c r="L38" s="301"/>
      <c r="M38" s="301"/>
      <c r="N38" s="301"/>
      <c r="O38" s="301"/>
      <c r="P38" s="301"/>
      <c r="Q38" s="301"/>
      <c r="R38" s="301"/>
      <c r="S38" s="301"/>
      <c r="T38" s="301"/>
      <c r="U38" s="300"/>
      <c r="V38" s="296"/>
    </row>
    <row r="39" spans="1:22" x14ac:dyDescent="0.25">
      <c r="A39" s="296"/>
      <c r="B39" s="307"/>
      <c r="C39" s="325" t="s">
        <v>288</v>
      </c>
      <c r="D39" s="325" t="s">
        <v>287</v>
      </c>
      <c r="E39" s="325"/>
      <c r="F39" s="325"/>
      <c r="G39" s="301"/>
      <c r="H39" s="301"/>
      <c r="I39" s="301"/>
      <c r="J39" s="301"/>
      <c r="K39" s="301"/>
      <c r="L39" s="301"/>
      <c r="M39" s="301"/>
      <c r="N39" s="301"/>
      <c r="O39" s="301"/>
      <c r="P39" s="301"/>
      <c r="Q39" s="301"/>
      <c r="R39" s="301"/>
      <c r="S39" s="301"/>
      <c r="T39" s="301"/>
      <c r="U39" s="300"/>
      <c r="V39" s="296"/>
    </row>
    <row r="40" spans="1:22" x14ac:dyDescent="0.25">
      <c r="A40" s="296"/>
      <c r="B40" s="307"/>
      <c r="C40" s="301"/>
      <c r="D40" s="301" t="s">
        <v>262</v>
      </c>
      <c r="E40" s="324" t="s">
        <v>286</v>
      </c>
      <c r="F40" s="324"/>
      <c r="G40" s="302"/>
      <c r="H40" s="302"/>
      <c r="I40" s="302"/>
      <c r="J40" s="302"/>
      <c r="K40" s="301"/>
      <c r="L40" s="301"/>
      <c r="M40" s="301"/>
      <c r="N40" s="301"/>
      <c r="O40" s="301"/>
      <c r="P40" s="301"/>
      <c r="Q40" s="301"/>
      <c r="R40" s="301"/>
      <c r="S40" s="301"/>
      <c r="T40" s="301"/>
      <c r="U40" s="300"/>
      <c r="V40" s="296"/>
    </row>
    <row r="41" spans="1:22" x14ac:dyDescent="0.25">
      <c r="A41" s="296"/>
      <c r="B41" s="307"/>
      <c r="C41" s="301"/>
      <c r="D41" s="301"/>
      <c r="E41" s="552" t="s">
        <v>285</v>
      </c>
      <c r="F41" s="552"/>
      <c r="G41" s="552"/>
      <c r="H41" s="552"/>
      <c r="I41" s="552"/>
      <c r="J41" s="552"/>
      <c r="K41" s="308">
        <v>0</v>
      </c>
      <c r="L41" s="301" t="s">
        <v>278</v>
      </c>
      <c r="M41" s="301"/>
      <c r="N41" s="549">
        <v>0</v>
      </c>
      <c r="O41" s="549"/>
      <c r="P41" s="301"/>
      <c r="Q41" s="301"/>
      <c r="R41" s="301"/>
      <c r="S41" s="301"/>
      <c r="T41" s="301"/>
      <c r="U41" s="300"/>
      <c r="V41" s="296"/>
    </row>
    <row r="42" spans="1:22" x14ac:dyDescent="0.25">
      <c r="A42" s="296"/>
      <c r="B42" s="307"/>
      <c r="C42" s="301"/>
      <c r="D42" s="301"/>
      <c r="E42" s="552" t="s">
        <v>284</v>
      </c>
      <c r="F42" s="552"/>
      <c r="G42" s="552"/>
      <c r="H42" s="552"/>
      <c r="I42" s="552"/>
      <c r="J42" s="552"/>
      <c r="K42" s="308">
        <v>0</v>
      </c>
      <c r="L42" s="301" t="s">
        <v>278</v>
      </c>
      <c r="M42" s="301"/>
      <c r="N42" s="536">
        <v>0</v>
      </c>
      <c r="O42" s="536"/>
      <c r="P42" s="301"/>
      <c r="Q42" s="301"/>
      <c r="R42" s="301"/>
      <c r="S42" s="301"/>
      <c r="T42" s="301"/>
      <c r="U42" s="300"/>
      <c r="V42" s="296"/>
    </row>
    <row r="43" spans="1:22" x14ac:dyDescent="0.25">
      <c r="A43" s="296"/>
      <c r="B43" s="307"/>
      <c r="C43" s="301"/>
      <c r="D43" s="301"/>
      <c r="E43" s="552" t="s">
        <v>283</v>
      </c>
      <c r="F43" s="552"/>
      <c r="G43" s="552"/>
      <c r="H43" s="552"/>
      <c r="I43" s="552"/>
      <c r="J43" s="552"/>
      <c r="K43" s="308">
        <v>0</v>
      </c>
      <c r="L43" s="301" t="s">
        <v>278</v>
      </c>
      <c r="M43" s="301"/>
      <c r="N43" s="536">
        <v>0</v>
      </c>
      <c r="O43" s="536"/>
      <c r="P43" s="301"/>
      <c r="Q43" s="301"/>
      <c r="R43" s="301"/>
      <c r="S43" s="301"/>
      <c r="T43" s="301"/>
      <c r="U43" s="300"/>
      <c r="V43" s="296"/>
    </row>
    <row r="44" spans="1:22" x14ac:dyDescent="0.25">
      <c r="A44" s="296"/>
      <c r="B44" s="307"/>
      <c r="C44" s="301"/>
      <c r="D44" s="301"/>
      <c r="E44" s="552" t="s">
        <v>282</v>
      </c>
      <c r="F44" s="552"/>
      <c r="G44" s="552"/>
      <c r="H44" s="552"/>
      <c r="I44" s="552"/>
      <c r="J44" s="552"/>
      <c r="K44" s="308">
        <v>0</v>
      </c>
      <c r="L44" s="301" t="s">
        <v>278</v>
      </c>
      <c r="M44" s="301"/>
      <c r="N44" s="536">
        <v>0</v>
      </c>
      <c r="O44" s="536"/>
      <c r="P44" s="301"/>
      <c r="Q44" s="301"/>
      <c r="R44" s="301"/>
      <c r="S44" s="301"/>
      <c r="T44" s="301"/>
      <c r="U44" s="300"/>
      <c r="V44" s="296"/>
    </row>
    <row r="45" spans="1:22" x14ac:dyDescent="0.25">
      <c r="A45" s="296"/>
      <c r="B45" s="307"/>
      <c r="C45" s="301"/>
      <c r="D45" s="301"/>
      <c r="E45" s="552" t="s">
        <v>281</v>
      </c>
      <c r="F45" s="552"/>
      <c r="G45" s="552"/>
      <c r="H45" s="552"/>
      <c r="I45" s="552"/>
      <c r="J45" s="552"/>
      <c r="K45" s="308">
        <v>0</v>
      </c>
      <c r="L45" s="301" t="s">
        <v>278</v>
      </c>
      <c r="M45" s="301"/>
      <c r="N45" s="536">
        <v>0</v>
      </c>
      <c r="O45" s="536"/>
      <c r="P45" s="301"/>
      <c r="Q45" s="301"/>
      <c r="R45" s="301"/>
      <c r="S45" s="301"/>
      <c r="T45" s="301"/>
      <c r="U45" s="300"/>
      <c r="V45" s="296"/>
    </row>
    <row r="46" spans="1:22" x14ac:dyDescent="0.25">
      <c r="A46" s="296"/>
      <c r="B46" s="307"/>
      <c r="C46" s="301"/>
      <c r="D46" s="301"/>
      <c r="E46" s="324"/>
      <c r="F46" s="552" t="s">
        <v>280</v>
      </c>
      <c r="G46" s="552"/>
      <c r="H46" s="552"/>
      <c r="I46" s="552"/>
      <c r="J46" s="552"/>
      <c r="K46" s="552"/>
      <c r="L46" s="552"/>
      <c r="M46" s="552"/>
      <c r="N46" s="552"/>
      <c r="O46" s="552"/>
      <c r="P46" s="549">
        <f>SUM(N41:O45)</f>
        <v>0</v>
      </c>
      <c r="Q46" s="549"/>
      <c r="R46" s="549"/>
      <c r="S46" s="301"/>
      <c r="T46" s="301"/>
      <c r="U46" s="300"/>
      <c r="V46" s="296"/>
    </row>
    <row r="47" spans="1:22" x14ac:dyDescent="0.25">
      <c r="A47" s="296"/>
      <c r="B47" s="307"/>
      <c r="C47" s="301"/>
      <c r="D47" s="301" t="s">
        <v>252</v>
      </c>
      <c r="E47" s="552" t="s">
        <v>279</v>
      </c>
      <c r="F47" s="552"/>
      <c r="G47" s="552"/>
      <c r="H47" s="552"/>
      <c r="I47" s="552"/>
      <c r="J47" s="552"/>
      <c r="K47" s="308">
        <v>10</v>
      </c>
      <c r="L47" s="301" t="s">
        <v>278</v>
      </c>
      <c r="M47" s="537" t="s">
        <v>277</v>
      </c>
      <c r="N47" s="537"/>
      <c r="O47" s="537"/>
      <c r="P47" s="536">
        <v>100</v>
      </c>
      <c r="Q47" s="536"/>
      <c r="R47" s="536"/>
      <c r="S47" s="301"/>
      <c r="T47" s="301"/>
      <c r="U47" s="300"/>
      <c r="V47" s="296"/>
    </row>
    <row r="48" spans="1:22" x14ac:dyDescent="0.25">
      <c r="A48" s="296"/>
      <c r="B48" s="307"/>
      <c r="C48" s="301"/>
      <c r="D48" s="301" t="s">
        <v>276</v>
      </c>
      <c r="E48" s="552" t="s">
        <v>275</v>
      </c>
      <c r="F48" s="552"/>
      <c r="G48" s="552"/>
      <c r="H48" s="552"/>
      <c r="I48" s="552"/>
      <c r="J48" s="552"/>
      <c r="K48" s="552"/>
      <c r="L48" s="552"/>
      <c r="M48" s="552"/>
      <c r="N48" s="552"/>
      <c r="O48" s="552"/>
      <c r="P48" s="536"/>
      <c r="Q48" s="536"/>
      <c r="R48" s="536"/>
      <c r="S48" s="301"/>
      <c r="T48" s="301"/>
      <c r="U48" s="300"/>
      <c r="V48" s="296"/>
    </row>
    <row r="49" spans="1:22" x14ac:dyDescent="0.25">
      <c r="A49" s="296"/>
      <c r="B49" s="307"/>
      <c r="C49" s="301"/>
      <c r="D49" s="301" t="s">
        <v>274</v>
      </c>
      <c r="E49" s="552" t="s">
        <v>273</v>
      </c>
      <c r="F49" s="552"/>
      <c r="G49" s="552"/>
      <c r="H49" s="552"/>
      <c r="I49" s="552"/>
      <c r="J49" s="552"/>
      <c r="K49" s="552"/>
      <c r="L49" s="552"/>
      <c r="M49" s="552"/>
      <c r="N49" s="552"/>
      <c r="O49" s="552"/>
      <c r="P49" s="536"/>
      <c r="Q49" s="536"/>
      <c r="R49" s="536"/>
      <c r="S49" s="301"/>
      <c r="T49" s="301"/>
      <c r="U49" s="300"/>
      <c r="V49" s="296"/>
    </row>
    <row r="50" spans="1:22" x14ac:dyDescent="0.25">
      <c r="A50" s="296"/>
      <c r="B50" s="307"/>
      <c r="C50" s="301"/>
      <c r="D50" s="301" t="s">
        <v>272</v>
      </c>
      <c r="E50" s="552" t="s">
        <v>271</v>
      </c>
      <c r="F50" s="552"/>
      <c r="G50" s="552"/>
      <c r="H50" s="552"/>
      <c r="I50" s="552"/>
      <c r="J50" s="552"/>
      <c r="K50" s="552"/>
      <c r="L50" s="552"/>
      <c r="M50" s="552"/>
      <c r="N50" s="552"/>
      <c r="O50" s="552"/>
      <c r="P50" s="536"/>
      <c r="Q50" s="536"/>
      <c r="R50" s="536"/>
      <c r="S50" s="301"/>
      <c r="T50" s="301"/>
      <c r="U50" s="300"/>
      <c r="V50" s="296"/>
    </row>
    <row r="51" spans="1:22" x14ac:dyDescent="0.25">
      <c r="A51" s="296"/>
      <c r="B51" s="307"/>
      <c r="C51" s="301"/>
      <c r="D51" s="301"/>
      <c r="E51" s="301"/>
      <c r="F51" s="301"/>
      <c r="G51" s="301"/>
      <c r="H51" s="301"/>
      <c r="I51" s="301"/>
      <c r="J51" s="554" t="s">
        <v>270</v>
      </c>
      <c r="K51" s="554"/>
      <c r="L51" s="554"/>
      <c r="M51" s="554"/>
      <c r="N51" s="554"/>
      <c r="O51" s="554"/>
      <c r="P51" s="554"/>
      <c r="Q51" s="554"/>
      <c r="R51" s="554"/>
      <c r="U51" s="300"/>
      <c r="V51" s="296"/>
    </row>
    <row r="52" spans="1:22" ht="15.75" thickBot="1" x14ac:dyDescent="0.3">
      <c r="A52" s="296"/>
      <c r="B52" s="307"/>
      <c r="C52" s="301"/>
      <c r="D52" s="301"/>
      <c r="E52" s="301"/>
      <c r="F52" s="301"/>
      <c r="G52" s="301"/>
      <c r="H52" s="301"/>
      <c r="I52" s="301"/>
      <c r="J52" s="301"/>
      <c r="K52" s="301"/>
      <c r="L52" s="301"/>
      <c r="M52" s="301"/>
      <c r="N52" s="301"/>
      <c r="O52" s="301"/>
      <c r="P52" s="301"/>
      <c r="Q52" s="301"/>
      <c r="R52" s="301"/>
      <c r="S52" s="555">
        <f>SUM(P46+P47)</f>
        <v>100</v>
      </c>
      <c r="T52" s="555"/>
      <c r="U52" s="300"/>
      <c r="V52" s="296"/>
    </row>
    <row r="53" spans="1:22" ht="15.75" thickBot="1" x14ac:dyDescent="0.3">
      <c r="A53" s="296"/>
      <c r="B53" s="307"/>
      <c r="C53" s="301"/>
      <c r="D53" s="301"/>
      <c r="E53" s="321" t="s">
        <v>269</v>
      </c>
      <c r="F53" s="301"/>
      <c r="G53" s="301"/>
      <c r="H53" s="561" t="s">
        <v>268</v>
      </c>
      <c r="I53" s="561"/>
      <c r="J53" s="561"/>
      <c r="K53" s="561"/>
      <c r="L53" s="561"/>
      <c r="M53" s="561"/>
      <c r="N53" s="561"/>
      <c r="O53" s="561"/>
      <c r="P53" s="561"/>
      <c r="Q53" s="561"/>
      <c r="R53" s="562"/>
      <c r="S53" s="558">
        <f>T37-S52</f>
        <v>2900.5</v>
      </c>
      <c r="T53" s="559"/>
      <c r="U53" s="300"/>
      <c r="V53" s="296"/>
    </row>
    <row r="54" spans="1:22" x14ac:dyDescent="0.25">
      <c r="A54" s="296"/>
      <c r="B54" s="307"/>
      <c r="C54" s="301"/>
      <c r="D54" s="301"/>
      <c r="E54" s="321" t="s">
        <v>267</v>
      </c>
      <c r="F54" s="301"/>
      <c r="G54" s="301"/>
      <c r="H54" s="301"/>
      <c r="I54" s="301"/>
      <c r="J54" s="314"/>
      <c r="K54" s="301"/>
      <c r="L54" s="301"/>
      <c r="M54" s="301"/>
      <c r="N54" s="301"/>
      <c r="O54" s="301"/>
      <c r="P54" s="301"/>
      <c r="Q54" s="301"/>
      <c r="R54" s="301"/>
      <c r="S54" s="301"/>
      <c r="T54" s="301"/>
      <c r="U54" s="300"/>
      <c r="V54" s="296"/>
    </row>
    <row r="55" spans="1:22" x14ac:dyDescent="0.25">
      <c r="A55" s="296"/>
      <c r="B55" s="307"/>
      <c r="C55" s="301"/>
      <c r="D55" s="301"/>
      <c r="E55" s="301"/>
      <c r="F55" s="301"/>
      <c r="G55" s="301"/>
      <c r="H55" s="560">
        <v>1</v>
      </c>
      <c r="I55" s="560"/>
      <c r="J55" s="560"/>
      <c r="K55" s="323"/>
      <c r="L55" s="301" t="s">
        <v>266</v>
      </c>
      <c r="M55" s="301"/>
      <c r="N55" s="560" t="s">
        <v>0</v>
      </c>
      <c r="O55" s="560"/>
      <c r="P55" s="301" t="s">
        <v>265</v>
      </c>
      <c r="Q55" s="322">
        <v>2022</v>
      </c>
      <c r="R55" s="301"/>
      <c r="S55" s="301"/>
      <c r="T55" s="301"/>
      <c r="U55" s="300"/>
      <c r="V55" s="296"/>
    </row>
    <row r="56" spans="1:22" x14ac:dyDescent="0.25">
      <c r="A56" s="296"/>
      <c r="B56" s="307"/>
      <c r="C56" s="301"/>
      <c r="D56" s="301"/>
      <c r="E56" s="301"/>
      <c r="F56" s="301"/>
      <c r="G56" s="301"/>
      <c r="H56" s="301"/>
      <c r="I56" s="301"/>
      <c r="J56" s="301"/>
      <c r="K56" s="301"/>
      <c r="L56" s="301"/>
      <c r="M56" s="301"/>
      <c r="N56" s="301"/>
      <c r="O56" s="301"/>
      <c r="P56" s="301"/>
      <c r="Q56" s="301"/>
      <c r="R56" s="301"/>
      <c r="S56" s="301"/>
      <c r="T56" s="301"/>
      <c r="U56" s="300"/>
      <c r="V56" s="296"/>
    </row>
    <row r="57" spans="1:22" x14ac:dyDescent="0.25">
      <c r="A57" s="296"/>
      <c r="B57" s="307"/>
      <c r="C57" s="301"/>
      <c r="D57" s="301"/>
      <c r="E57" s="301"/>
      <c r="F57" s="301"/>
      <c r="G57" s="301"/>
      <c r="H57" s="301"/>
      <c r="I57" s="301"/>
      <c r="J57" s="301"/>
      <c r="K57" s="301"/>
      <c r="L57" s="301"/>
      <c r="M57" s="301"/>
      <c r="N57" s="301"/>
      <c r="O57" s="321" t="s">
        <v>264</v>
      </c>
      <c r="P57" s="301"/>
      <c r="Q57" s="301"/>
      <c r="R57" s="301"/>
      <c r="S57" s="301"/>
      <c r="T57" s="301"/>
      <c r="U57" s="300"/>
      <c r="V57" s="296"/>
    </row>
    <row r="58" spans="1:22" x14ac:dyDescent="0.25">
      <c r="A58" s="296"/>
      <c r="B58" s="307"/>
      <c r="C58" s="301"/>
      <c r="D58" s="301"/>
      <c r="E58" s="301"/>
      <c r="F58" s="301"/>
      <c r="G58" s="301"/>
      <c r="H58" s="301"/>
      <c r="I58" s="301"/>
      <c r="J58" s="301"/>
      <c r="K58" s="301"/>
      <c r="L58" s="301"/>
      <c r="M58" s="301"/>
      <c r="N58" s="301"/>
      <c r="O58" s="301"/>
      <c r="P58" s="301"/>
      <c r="Q58" s="301"/>
      <c r="R58" s="301"/>
      <c r="S58" s="301"/>
      <c r="T58" s="301"/>
      <c r="U58" s="300"/>
      <c r="V58" s="296"/>
    </row>
    <row r="59" spans="1:22" x14ac:dyDescent="0.25">
      <c r="A59" s="296"/>
      <c r="B59" s="299"/>
      <c r="C59" s="298"/>
      <c r="D59" s="298"/>
      <c r="E59" s="298"/>
      <c r="F59" s="298"/>
      <c r="G59" s="298"/>
      <c r="H59" s="298"/>
      <c r="I59" s="298"/>
      <c r="J59" s="298"/>
      <c r="K59" s="298"/>
      <c r="L59" s="298"/>
      <c r="M59" s="298"/>
      <c r="N59" s="298"/>
      <c r="O59" s="298"/>
      <c r="P59" s="298"/>
      <c r="Q59" s="298"/>
      <c r="R59" s="298"/>
      <c r="S59" s="298"/>
      <c r="T59" s="298"/>
      <c r="U59" s="297"/>
      <c r="V59" s="296"/>
    </row>
    <row r="60" spans="1:22" x14ac:dyDescent="0.25">
      <c r="A60" s="296"/>
      <c r="B60" s="296"/>
      <c r="C60" s="296"/>
      <c r="D60" s="296"/>
      <c r="E60" s="296"/>
      <c r="F60" s="296"/>
      <c r="G60" s="296"/>
      <c r="H60" s="296"/>
      <c r="I60" s="296"/>
      <c r="J60" s="296"/>
      <c r="K60" s="296"/>
      <c r="L60" s="296"/>
      <c r="M60" s="296"/>
      <c r="N60" s="296"/>
      <c r="O60" s="296"/>
      <c r="P60" s="296"/>
      <c r="Q60" s="296"/>
      <c r="R60" s="296"/>
      <c r="S60" s="296"/>
      <c r="T60" s="296"/>
      <c r="U60" s="296"/>
      <c r="V60" s="296"/>
    </row>
    <row r="61" spans="1:22" x14ac:dyDescent="0.25">
      <c r="A61" s="296"/>
      <c r="B61" s="296"/>
      <c r="C61" s="296"/>
      <c r="D61" s="296"/>
      <c r="E61" s="296"/>
      <c r="F61" s="296"/>
      <c r="G61" s="296"/>
      <c r="H61" s="296"/>
      <c r="I61" s="296"/>
      <c r="J61" s="296"/>
      <c r="K61" s="296"/>
      <c r="L61" s="296"/>
      <c r="M61" s="296"/>
      <c r="N61" s="296"/>
      <c r="O61" s="296"/>
      <c r="P61" s="296"/>
      <c r="Q61" s="296"/>
      <c r="R61" s="296"/>
      <c r="S61" s="296"/>
      <c r="T61" s="296"/>
      <c r="U61" s="296"/>
      <c r="V61" s="296"/>
    </row>
    <row r="62" spans="1:22" x14ac:dyDescent="0.25">
      <c r="A62" s="296"/>
      <c r="B62" s="320" t="s">
        <v>263</v>
      </c>
      <c r="D62" s="319"/>
      <c r="E62" s="319"/>
      <c r="F62" s="319"/>
      <c r="G62" s="319"/>
      <c r="H62" s="319"/>
      <c r="I62" s="319"/>
      <c r="J62" s="319"/>
      <c r="K62" s="319"/>
      <c r="L62" s="319"/>
      <c r="M62" s="319"/>
      <c r="N62" s="319"/>
      <c r="O62" s="319"/>
      <c r="P62" s="319"/>
      <c r="Q62" s="319"/>
      <c r="R62" s="319"/>
      <c r="S62" s="319"/>
      <c r="T62" s="319"/>
      <c r="U62" s="318"/>
      <c r="V62" s="296"/>
    </row>
    <row r="63" spans="1:22" x14ac:dyDescent="0.25">
      <c r="A63" s="296"/>
      <c r="B63" s="307"/>
      <c r="C63" s="301"/>
      <c r="D63" s="301"/>
      <c r="E63" s="301"/>
      <c r="F63" s="301"/>
      <c r="G63" s="301"/>
      <c r="H63" s="301"/>
      <c r="I63" s="301"/>
      <c r="J63" s="301"/>
      <c r="K63" s="301"/>
      <c r="L63" s="301"/>
      <c r="M63" s="301"/>
      <c r="N63" s="301"/>
      <c r="O63" s="301"/>
      <c r="P63" s="301"/>
      <c r="Q63" s="301"/>
      <c r="R63" s="301"/>
      <c r="S63" s="301"/>
      <c r="T63" s="301"/>
      <c r="U63" s="300"/>
      <c r="V63" s="296"/>
    </row>
    <row r="64" spans="1:22" x14ac:dyDescent="0.25">
      <c r="A64" s="296"/>
      <c r="B64" s="307"/>
      <c r="C64" s="301"/>
      <c r="D64" s="301" t="s">
        <v>262</v>
      </c>
      <c r="E64" s="553" t="s">
        <v>261</v>
      </c>
      <c r="F64" s="553"/>
      <c r="G64" s="553"/>
      <c r="H64" s="553"/>
      <c r="I64" s="553"/>
      <c r="J64" s="553"/>
      <c r="K64" s="553"/>
      <c r="L64" s="553"/>
      <c r="M64" s="302"/>
      <c r="N64" s="302"/>
      <c r="O64" s="317" t="s">
        <v>260</v>
      </c>
      <c r="P64" s="317"/>
      <c r="Q64" s="317" t="s">
        <v>259</v>
      </c>
      <c r="R64" s="316" t="s">
        <v>258</v>
      </c>
      <c r="U64" s="300"/>
      <c r="V64" s="296"/>
    </row>
    <row r="65" spans="1:22" x14ac:dyDescent="0.25">
      <c r="A65" s="296"/>
      <c r="B65" s="307"/>
      <c r="C65" s="301"/>
      <c r="D65" s="301"/>
      <c r="E65" s="315" t="s">
        <v>257</v>
      </c>
      <c r="F65" s="315"/>
      <c r="G65" s="315"/>
      <c r="H65" s="315"/>
      <c r="I65" s="315"/>
      <c r="J65" s="315"/>
      <c r="K65" s="315"/>
      <c r="L65" s="315"/>
      <c r="M65" s="556">
        <f>P14</f>
        <v>2850.5</v>
      </c>
      <c r="N65" s="556"/>
      <c r="O65" s="317"/>
      <c r="P65" s="317"/>
      <c r="Q65" s="317"/>
      <c r="R65" s="316" t="s">
        <v>256</v>
      </c>
      <c r="U65" s="300"/>
      <c r="V65" s="296"/>
    </row>
    <row r="66" spans="1:22" x14ac:dyDescent="0.25">
      <c r="A66" s="296"/>
      <c r="B66" s="307"/>
      <c r="C66" s="301"/>
      <c r="D66" s="301"/>
      <c r="E66" s="315" t="s">
        <v>255</v>
      </c>
      <c r="F66" s="315"/>
      <c r="G66" s="315"/>
      <c r="H66" s="315"/>
      <c r="I66" s="315"/>
      <c r="J66" s="315"/>
      <c r="K66" s="315"/>
      <c r="L66" s="315"/>
      <c r="M66" s="556">
        <f>($T$37*2)/12</f>
        <v>500.08333333333331</v>
      </c>
      <c r="N66" s="556"/>
      <c r="O66" s="301"/>
      <c r="P66" s="301"/>
      <c r="Q66" s="301"/>
      <c r="R66" s="301"/>
      <c r="U66" s="300"/>
      <c r="V66" s="296"/>
    </row>
    <row r="67" spans="1:22" x14ac:dyDescent="0.25">
      <c r="A67" s="296"/>
      <c r="B67" s="307"/>
      <c r="C67" s="301"/>
      <c r="D67" s="301"/>
      <c r="E67" s="302"/>
      <c r="F67" s="302"/>
      <c r="G67" s="302"/>
      <c r="H67" s="302"/>
      <c r="I67" s="302"/>
      <c r="J67" s="313" t="s">
        <v>254</v>
      </c>
      <c r="K67" s="313"/>
      <c r="L67" s="313"/>
      <c r="M67" s="556"/>
      <c r="N67" s="556"/>
      <c r="O67" s="306">
        <f>SUM(M65:N66)</f>
        <v>3350.5833333333335</v>
      </c>
      <c r="P67" s="305"/>
      <c r="Q67" s="309">
        <v>0.23599999999999999</v>
      </c>
      <c r="R67" s="308">
        <f>O67*0.0236</f>
        <v>79.073766666666671</v>
      </c>
      <c r="U67" s="300"/>
      <c r="V67" s="296"/>
    </row>
    <row r="68" spans="1:22" x14ac:dyDescent="0.25">
      <c r="A68" s="296"/>
      <c r="B68" s="307"/>
      <c r="C68" s="301"/>
      <c r="D68" s="301"/>
      <c r="E68" s="302"/>
      <c r="F68" s="302"/>
      <c r="G68" s="302"/>
      <c r="H68" s="302"/>
      <c r="I68" s="312" t="s">
        <v>253</v>
      </c>
      <c r="J68" s="313"/>
      <c r="K68" s="313"/>
      <c r="L68" s="313"/>
      <c r="M68" s="314"/>
      <c r="N68" s="313"/>
      <c r="O68" s="310"/>
      <c r="P68" s="310"/>
      <c r="Q68" s="309">
        <v>1.35E-2</v>
      </c>
      <c r="R68" s="308">
        <f>O67*0.0135</f>
        <v>45.232875</v>
      </c>
      <c r="U68" s="300"/>
      <c r="V68" s="296"/>
    </row>
    <row r="69" spans="1:22" x14ac:dyDescent="0.25">
      <c r="A69" s="296"/>
      <c r="B69" s="307"/>
      <c r="C69" s="301"/>
      <c r="D69" s="301" t="s">
        <v>252</v>
      </c>
      <c r="E69" s="302" t="s">
        <v>251</v>
      </c>
      <c r="F69" s="302"/>
      <c r="G69" s="302"/>
      <c r="H69" s="302"/>
      <c r="I69" s="312" t="s">
        <v>250</v>
      </c>
      <c r="J69" s="302"/>
      <c r="K69" s="302"/>
      <c r="L69" s="302"/>
      <c r="M69" s="307"/>
      <c r="N69" s="302"/>
      <c r="O69" s="301"/>
      <c r="P69" s="301"/>
      <c r="Q69" s="309">
        <v>5.5E-2</v>
      </c>
      <c r="R69" s="308">
        <f>O67*0.055</f>
        <v>184.28208333333333</v>
      </c>
      <c r="U69" s="300"/>
      <c r="V69" s="296"/>
    </row>
    <row r="70" spans="1:22" x14ac:dyDescent="0.25">
      <c r="A70" s="296"/>
      <c r="B70" s="307"/>
      <c r="C70" s="301"/>
      <c r="D70" s="301"/>
      <c r="E70" s="302" t="s">
        <v>249</v>
      </c>
      <c r="F70" s="302"/>
      <c r="G70" s="302"/>
      <c r="H70" s="302"/>
      <c r="I70" s="312" t="s">
        <v>248</v>
      </c>
      <c r="J70" s="302"/>
      <c r="K70" s="302"/>
      <c r="L70" s="302"/>
      <c r="M70" s="557"/>
      <c r="N70" s="556"/>
      <c r="O70" s="306">
        <f>O67</f>
        <v>3350.5833333333335</v>
      </c>
      <c r="P70" s="305"/>
      <c r="Q70" s="309">
        <v>6.0000000000000001E-3</v>
      </c>
      <c r="R70" s="308">
        <f>O67*0.006</f>
        <v>20.1035</v>
      </c>
      <c r="U70" s="300"/>
      <c r="V70" s="296"/>
    </row>
    <row r="71" spans="1:22" x14ac:dyDescent="0.25">
      <c r="A71" s="296"/>
      <c r="B71" s="307"/>
      <c r="C71" s="301"/>
      <c r="D71" s="301"/>
      <c r="E71" s="302"/>
      <c r="F71" s="302"/>
      <c r="G71" s="302"/>
      <c r="H71" s="302"/>
      <c r="I71" s="312" t="s">
        <v>247</v>
      </c>
      <c r="J71" s="302"/>
      <c r="K71" s="302"/>
      <c r="L71" s="302"/>
      <c r="M71" s="311"/>
      <c r="N71" s="302"/>
      <c r="O71" s="310"/>
      <c r="P71" s="310"/>
      <c r="Q71" s="309">
        <v>2E-3</v>
      </c>
      <c r="R71" s="308">
        <v>2.3333333333333335</v>
      </c>
      <c r="U71" s="300"/>
      <c r="V71" s="296"/>
    </row>
    <row r="72" spans="1:22" x14ac:dyDescent="0.25">
      <c r="A72" s="296"/>
      <c r="B72" s="307"/>
      <c r="C72" s="301"/>
      <c r="D72" s="301" t="s">
        <v>246</v>
      </c>
      <c r="E72" s="302" t="s">
        <v>245</v>
      </c>
      <c r="F72" s="302"/>
      <c r="G72" s="302"/>
      <c r="H72" s="302"/>
      <c r="I72" s="302"/>
      <c r="J72" s="302"/>
      <c r="K72" s="302"/>
      <c r="L72" s="302"/>
      <c r="M72" s="556"/>
      <c r="N72" s="556"/>
      <c r="O72" s="306">
        <f>O69</f>
        <v>0</v>
      </c>
      <c r="P72" s="305"/>
      <c r="Q72" s="309">
        <v>0.23599999999999999</v>
      </c>
      <c r="R72" s="308">
        <v>0</v>
      </c>
      <c r="U72" s="300"/>
      <c r="V72" s="296"/>
    </row>
    <row r="73" spans="1:22" x14ac:dyDescent="0.25">
      <c r="A73" s="296"/>
      <c r="B73" s="307"/>
      <c r="C73" s="301"/>
      <c r="D73" s="301" t="s">
        <v>244</v>
      </c>
      <c r="E73" s="302" t="s">
        <v>243</v>
      </c>
      <c r="F73" s="302"/>
      <c r="G73" s="302"/>
      <c r="H73" s="302"/>
      <c r="I73" s="302"/>
      <c r="J73" s="302"/>
      <c r="K73" s="302"/>
      <c r="L73" s="302"/>
      <c r="M73" s="556"/>
      <c r="N73" s="556"/>
      <c r="O73" s="306">
        <v>0</v>
      </c>
      <c r="P73" s="305"/>
      <c r="Q73" s="309">
        <v>0.12</v>
      </c>
      <c r="R73" s="308">
        <v>0</v>
      </c>
      <c r="U73" s="300"/>
      <c r="V73" s="296"/>
    </row>
    <row r="74" spans="1:22" x14ac:dyDescent="0.25">
      <c r="A74" s="296"/>
      <c r="B74" s="307"/>
      <c r="C74" s="301"/>
      <c r="D74" s="301" t="s">
        <v>242</v>
      </c>
      <c r="E74" s="302" t="s">
        <v>241</v>
      </c>
      <c r="F74" s="302"/>
      <c r="G74" s="302"/>
      <c r="H74" s="302"/>
      <c r="I74" s="302"/>
      <c r="J74" s="302"/>
      <c r="K74" s="302"/>
      <c r="L74" s="302"/>
      <c r="M74" s="556"/>
      <c r="N74" s="556"/>
      <c r="O74" s="306"/>
      <c r="P74" s="305"/>
      <c r="Q74" s="304" t="s">
        <v>14</v>
      </c>
      <c r="R74" s="303">
        <f>SUM(R67:R73)</f>
        <v>331.02555833333332</v>
      </c>
      <c r="S74" s="302"/>
      <c r="T74" s="301"/>
      <c r="U74" s="300"/>
      <c r="V74" s="296"/>
    </row>
    <row r="75" spans="1:22" x14ac:dyDescent="0.25">
      <c r="A75" s="296"/>
      <c r="B75" s="299"/>
      <c r="C75" s="298"/>
      <c r="D75" s="298"/>
      <c r="E75" s="298"/>
      <c r="F75" s="298"/>
      <c r="G75" s="298"/>
      <c r="H75" s="298"/>
      <c r="I75" s="298"/>
      <c r="J75" s="298"/>
      <c r="K75" s="298"/>
      <c r="L75" s="298"/>
      <c r="M75" s="298"/>
      <c r="N75" s="298"/>
      <c r="O75" s="298"/>
      <c r="P75" s="298"/>
      <c r="Q75" s="298"/>
      <c r="R75" s="298"/>
      <c r="S75" s="298"/>
      <c r="T75" s="298"/>
      <c r="U75" s="297"/>
      <c r="V75" s="296"/>
    </row>
    <row r="76" spans="1:22" x14ac:dyDescent="0.25">
      <c r="A76" s="296"/>
      <c r="B76" s="296"/>
      <c r="C76" s="296"/>
      <c r="D76" s="296"/>
      <c r="E76" s="296"/>
      <c r="F76" s="296"/>
      <c r="G76" s="296"/>
      <c r="H76" s="296"/>
      <c r="I76" s="296"/>
      <c r="J76" s="296"/>
      <c r="K76" s="296"/>
      <c r="L76" s="296"/>
      <c r="M76" s="296"/>
      <c r="N76" s="296"/>
      <c r="O76" s="296"/>
      <c r="P76" s="296"/>
      <c r="Q76" s="296"/>
      <c r="R76" s="296"/>
      <c r="S76" s="296"/>
      <c r="T76" s="296"/>
      <c r="U76" s="296"/>
      <c r="V76" s="296"/>
    </row>
    <row r="79" spans="1:22" x14ac:dyDescent="0.25">
      <c r="A79" s="296"/>
      <c r="B79" s="296"/>
      <c r="C79" s="296"/>
      <c r="D79" s="296"/>
      <c r="E79" s="296"/>
      <c r="F79" s="296"/>
      <c r="G79" s="296"/>
      <c r="H79" s="296"/>
      <c r="I79" s="296"/>
      <c r="J79" s="296"/>
      <c r="K79" s="296"/>
      <c r="L79" s="296"/>
      <c r="M79" s="296"/>
      <c r="N79" s="296"/>
      <c r="O79" s="296"/>
      <c r="P79" s="296"/>
      <c r="Q79" s="296"/>
      <c r="R79" s="296"/>
      <c r="S79" s="296"/>
      <c r="T79" s="296"/>
      <c r="U79" s="296"/>
      <c r="V79" s="296"/>
    </row>
    <row r="80" spans="1:22" x14ac:dyDescent="0.25">
      <c r="A80" s="296"/>
      <c r="B80" s="538" t="s">
        <v>330</v>
      </c>
      <c r="C80" s="539"/>
      <c r="D80" s="539"/>
      <c r="E80" s="539"/>
      <c r="F80" s="535" t="s">
        <v>458</v>
      </c>
      <c r="G80" s="535"/>
      <c r="H80" s="535"/>
      <c r="I80" s="535"/>
      <c r="J80" s="535"/>
      <c r="K80" s="535"/>
      <c r="L80" s="535"/>
      <c r="M80" s="318"/>
      <c r="N80" s="296"/>
      <c r="O80" s="331" t="s">
        <v>328</v>
      </c>
      <c r="P80" s="540" t="s">
        <v>335</v>
      </c>
      <c r="Q80" s="540"/>
      <c r="R80" s="540"/>
      <c r="S80" s="540"/>
      <c r="T80" s="540"/>
      <c r="U80" s="318"/>
      <c r="V80" s="296"/>
    </row>
    <row r="81" spans="1:22" x14ac:dyDescent="0.25">
      <c r="A81" s="296"/>
      <c r="B81" s="541" t="s">
        <v>326</v>
      </c>
      <c r="C81" s="537"/>
      <c r="D81" s="537"/>
      <c r="E81" s="537"/>
      <c r="F81" s="535" t="s">
        <v>325</v>
      </c>
      <c r="G81" s="535"/>
      <c r="H81" s="535"/>
      <c r="I81" s="535"/>
      <c r="J81" s="535"/>
      <c r="K81" s="535"/>
      <c r="L81" s="535"/>
      <c r="M81" s="300"/>
      <c r="N81" s="296"/>
      <c r="O81" s="307" t="s">
        <v>324</v>
      </c>
      <c r="P81" s="542" t="s">
        <v>334</v>
      </c>
      <c r="Q81" s="542"/>
      <c r="R81" s="542"/>
      <c r="S81" s="542"/>
      <c r="T81" s="542"/>
      <c r="U81" s="300"/>
      <c r="V81" s="296"/>
    </row>
    <row r="82" spans="1:22" x14ac:dyDescent="0.25">
      <c r="A82" s="296"/>
      <c r="B82" s="541" t="s">
        <v>322</v>
      </c>
      <c r="C82" s="537"/>
      <c r="D82" s="537"/>
      <c r="E82" s="537"/>
      <c r="F82" s="535" t="s">
        <v>321</v>
      </c>
      <c r="G82" s="535"/>
      <c r="H82" s="535"/>
      <c r="I82" s="535"/>
      <c r="J82" s="535"/>
      <c r="K82" s="535"/>
      <c r="L82" s="535"/>
      <c r="M82" s="300"/>
      <c r="N82" s="296"/>
      <c r="O82" s="307" t="s">
        <v>320</v>
      </c>
      <c r="P82" s="543" t="s">
        <v>333</v>
      </c>
      <c r="Q82" s="542"/>
      <c r="R82" s="542"/>
      <c r="S82" s="542"/>
      <c r="T82" s="542"/>
      <c r="U82" s="300"/>
      <c r="V82" s="296"/>
    </row>
    <row r="83" spans="1:22" x14ac:dyDescent="0.25">
      <c r="A83" s="296"/>
      <c r="B83" s="541" t="s">
        <v>318</v>
      </c>
      <c r="C83" s="537"/>
      <c r="D83" s="537"/>
      <c r="E83" s="537"/>
      <c r="F83" s="535" t="s">
        <v>317</v>
      </c>
      <c r="G83" s="535"/>
      <c r="H83" s="535"/>
      <c r="I83" s="535"/>
      <c r="J83" s="535"/>
      <c r="K83" s="535"/>
      <c r="L83" s="535"/>
      <c r="M83" s="300"/>
      <c r="N83" s="296"/>
      <c r="O83" s="307" t="s">
        <v>316</v>
      </c>
      <c r="P83" s="337"/>
      <c r="Q83" s="336" t="s">
        <v>460</v>
      </c>
      <c r="R83" s="336"/>
      <c r="S83" s="336"/>
      <c r="T83" s="336"/>
      <c r="U83" s="300"/>
      <c r="V83" s="296"/>
    </row>
    <row r="84" spans="1:22" x14ac:dyDescent="0.25">
      <c r="A84" s="296"/>
      <c r="B84" s="541" t="s">
        <v>315</v>
      </c>
      <c r="C84" s="537"/>
      <c r="D84" s="537"/>
      <c r="E84" s="537"/>
      <c r="F84" s="542" t="s">
        <v>314</v>
      </c>
      <c r="G84" s="542"/>
      <c r="H84" s="542"/>
      <c r="I84" s="542"/>
      <c r="J84" s="542"/>
      <c r="K84" s="542"/>
      <c r="L84" s="542"/>
      <c r="M84" s="300"/>
      <c r="N84" s="296"/>
      <c r="O84" s="307" t="s">
        <v>313</v>
      </c>
      <c r="P84" s="544" t="s">
        <v>459</v>
      </c>
      <c r="Q84" s="542"/>
      <c r="R84" s="542"/>
      <c r="S84" s="542"/>
      <c r="T84" s="542"/>
      <c r="U84" s="300"/>
      <c r="V84" s="296"/>
    </row>
    <row r="85" spans="1:22" x14ac:dyDescent="0.25">
      <c r="A85" s="296"/>
      <c r="B85" s="545"/>
      <c r="C85" s="546"/>
      <c r="D85" s="546"/>
      <c r="E85" s="546"/>
      <c r="F85" s="335"/>
      <c r="G85" s="335"/>
      <c r="H85" s="335"/>
      <c r="I85" s="335"/>
      <c r="J85" s="335"/>
      <c r="K85" s="335"/>
      <c r="L85" s="335"/>
      <c r="M85" s="297"/>
      <c r="N85" s="296"/>
      <c r="O85" s="299"/>
      <c r="P85" s="335"/>
      <c r="Q85" s="335"/>
      <c r="R85" s="335"/>
      <c r="S85" s="335"/>
      <c r="T85" s="335"/>
      <c r="U85" s="297"/>
      <c r="V85" s="296"/>
    </row>
    <row r="86" spans="1:22" x14ac:dyDescent="0.25">
      <c r="A86" s="296"/>
      <c r="B86" s="296"/>
      <c r="C86" s="296"/>
      <c r="D86" s="296"/>
      <c r="E86" s="296"/>
      <c r="F86" s="296"/>
      <c r="G86" s="296"/>
      <c r="H86" s="296"/>
      <c r="I86" s="296"/>
      <c r="J86" s="296"/>
      <c r="K86" s="296"/>
      <c r="L86" s="296"/>
      <c r="M86" s="296"/>
      <c r="N86" s="296"/>
      <c r="O86" s="296"/>
      <c r="P86" s="296"/>
      <c r="Q86" s="296"/>
      <c r="R86" s="296"/>
      <c r="S86" s="296"/>
      <c r="T86" s="296"/>
      <c r="U86" s="296"/>
      <c r="V86" s="296"/>
    </row>
    <row r="87" spans="1:22" x14ac:dyDescent="0.25">
      <c r="A87" s="296"/>
      <c r="B87" s="547" t="s">
        <v>312</v>
      </c>
      <c r="C87" s="548"/>
      <c r="D87" s="548"/>
      <c r="E87" s="548"/>
      <c r="F87" s="548"/>
      <c r="G87" s="328" t="s">
        <v>311</v>
      </c>
      <c r="H87" s="332">
        <v>2</v>
      </c>
      <c r="I87" s="328" t="s">
        <v>266</v>
      </c>
      <c r="J87" s="333" t="s">
        <v>0</v>
      </c>
      <c r="K87" s="334" t="s">
        <v>310</v>
      </c>
      <c r="L87" s="332">
        <v>31</v>
      </c>
      <c r="M87" s="328"/>
      <c r="N87" s="328" t="s">
        <v>266</v>
      </c>
      <c r="O87" s="333" t="s">
        <v>0</v>
      </c>
      <c r="P87" s="328" t="s">
        <v>266</v>
      </c>
      <c r="Q87" s="332">
        <v>2022</v>
      </c>
      <c r="R87" s="328" t="s">
        <v>309</v>
      </c>
      <c r="S87" s="328"/>
      <c r="T87" s="332">
        <v>30</v>
      </c>
      <c r="U87" s="318"/>
      <c r="V87" s="296"/>
    </row>
    <row r="88" spans="1:22" x14ac:dyDescent="0.25">
      <c r="A88" s="296"/>
      <c r="B88" s="299"/>
      <c r="C88" s="298"/>
      <c r="D88" s="298"/>
      <c r="E88" s="298"/>
      <c r="F88" s="298"/>
      <c r="G88" s="298"/>
      <c r="H88" s="298"/>
      <c r="I88" s="298"/>
      <c r="J88" s="298"/>
      <c r="K88" s="298"/>
      <c r="L88" s="298"/>
      <c r="M88" s="298"/>
      <c r="N88" s="298"/>
      <c r="O88" s="298"/>
      <c r="P88" s="298"/>
      <c r="Q88" s="298"/>
      <c r="R88" s="298"/>
      <c r="S88" s="298"/>
      <c r="T88" s="298"/>
      <c r="U88" s="297"/>
      <c r="V88" s="296"/>
    </row>
    <row r="89" spans="1:22" x14ac:dyDescent="0.25">
      <c r="A89" s="296"/>
      <c r="B89" s="296"/>
      <c r="C89" s="296"/>
      <c r="D89" s="296"/>
      <c r="E89" s="296"/>
      <c r="F89" s="296"/>
      <c r="G89" s="296"/>
      <c r="H89" s="296"/>
      <c r="I89" s="296"/>
      <c r="J89" s="296"/>
      <c r="K89" s="296"/>
      <c r="L89" s="296"/>
      <c r="M89" s="296"/>
      <c r="N89" s="296"/>
      <c r="O89" s="296"/>
      <c r="P89" s="296"/>
      <c r="Q89" s="296"/>
      <c r="R89" s="296"/>
      <c r="S89" s="296"/>
      <c r="T89" s="296"/>
      <c r="U89" s="296"/>
      <c r="V89" s="296"/>
    </row>
    <row r="90" spans="1:22" x14ac:dyDescent="0.25">
      <c r="A90" s="296"/>
      <c r="B90" s="331"/>
      <c r="C90" s="330" t="s">
        <v>308</v>
      </c>
      <c r="D90" s="330" t="s">
        <v>307</v>
      </c>
      <c r="E90" s="330"/>
      <c r="F90" s="330"/>
      <c r="G90" s="328"/>
      <c r="H90" s="328"/>
      <c r="I90" s="328"/>
      <c r="J90" s="328"/>
      <c r="K90" s="328"/>
      <c r="L90" s="328"/>
      <c r="M90" s="328"/>
      <c r="N90" s="328"/>
      <c r="O90" s="328"/>
      <c r="P90" s="329" t="s">
        <v>126</v>
      </c>
      <c r="Q90" s="328"/>
      <c r="R90" s="328"/>
      <c r="S90" s="328"/>
      <c r="T90" s="327" t="s">
        <v>306</v>
      </c>
      <c r="U90" s="318"/>
      <c r="V90" s="296"/>
    </row>
    <row r="91" spans="1:22" x14ac:dyDescent="0.25">
      <c r="A91" s="296"/>
      <c r="B91" s="307"/>
      <c r="C91" s="313" t="s">
        <v>305</v>
      </c>
      <c r="D91" s="313" t="s">
        <v>304</v>
      </c>
      <c r="E91" s="301"/>
      <c r="F91" s="301"/>
      <c r="G91" s="301"/>
      <c r="H91" s="301"/>
      <c r="I91" s="301"/>
      <c r="J91" s="301"/>
      <c r="K91" s="301"/>
      <c r="L91" s="301"/>
      <c r="M91" s="301"/>
      <c r="N91" s="301"/>
      <c r="O91" s="301"/>
      <c r="P91" s="301"/>
      <c r="Q91" s="301"/>
      <c r="R91" s="301"/>
      <c r="S91" s="301"/>
      <c r="T91" s="301"/>
      <c r="U91" s="300"/>
      <c r="V91" s="296"/>
    </row>
    <row r="92" spans="1:22" x14ac:dyDescent="0.25">
      <c r="A92" s="296"/>
      <c r="B92" s="307"/>
      <c r="C92" s="301"/>
      <c r="D92" s="537" t="s">
        <v>303</v>
      </c>
      <c r="E92" s="537"/>
      <c r="F92" s="537"/>
      <c r="G92" s="537"/>
      <c r="H92" s="537"/>
      <c r="I92" s="537"/>
      <c r="J92" s="537"/>
      <c r="K92" s="537"/>
      <c r="L92" s="537"/>
      <c r="M92" s="537"/>
      <c r="N92" s="537"/>
      <c r="O92" s="537"/>
      <c r="P92" s="549">
        <v>1650</v>
      </c>
      <c r="Q92" s="549"/>
      <c r="R92" s="549"/>
      <c r="S92" s="301"/>
      <c r="T92" s="301"/>
      <c r="U92" s="300"/>
      <c r="V92" s="296"/>
    </row>
    <row r="93" spans="1:22" x14ac:dyDescent="0.25">
      <c r="A93" s="296"/>
      <c r="B93" s="307"/>
      <c r="C93" s="301"/>
      <c r="D93" s="301" t="s">
        <v>302</v>
      </c>
      <c r="E93" s="301"/>
      <c r="F93" s="301"/>
      <c r="G93" s="301"/>
      <c r="H93" s="301"/>
      <c r="I93" s="301"/>
      <c r="J93" s="301"/>
      <c r="K93" s="301"/>
      <c r="L93" s="301"/>
      <c r="M93" s="301"/>
      <c r="N93" s="301"/>
      <c r="O93" s="301"/>
      <c r="P93" s="550"/>
      <c r="Q93" s="550"/>
      <c r="R93" s="550"/>
      <c r="S93" s="301"/>
      <c r="T93" s="301"/>
      <c r="U93" s="300"/>
      <c r="V93" s="296"/>
    </row>
    <row r="94" spans="1:22" x14ac:dyDescent="0.25">
      <c r="A94" s="296"/>
      <c r="B94" s="307"/>
      <c r="C94" s="301"/>
      <c r="D94" s="301"/>
      <c r="E94" s="551"/>
      <c r="F94" s="551"/>
      <c r="G94" s="551"/>
      <c r="H94" s="551"/>
      <c r="I94" s="551"/>
      <c r="J94" s="551"/>
      <c r="K94" s="551"/>
      <c r="L94" s="551"/>
      <c r="M94" s="551"/>
      <c r="N94" s="551"/>
      <c r="O94" s="301" t="s">
        <v>290</v>
      </c>
      <c r="P94" s="549"/>
      <c r="Q94" s="549"/>
      <c r="R94" s="549"/>
      <c r="S94" s="301"/>
      <c r="T94" s="301"/>
      <c r="U94" s="300"/>
      <c r="V94" s="296"/>
    </row>
    <row r="95" spans="1:22" x14ac:dyDescent="0.25">
      <c r="A95" s="296"/>
      <c r="B95" s="307"/>
      <c r="C95" s="301"/>
      <c r="D95" s="301"/>
      <c r="E95" s="535"/>
      <c r="F95" s="535"/>
      <c r="G95" s="535"/>
      <c r="H95" s="535"/>
      <c r="I95" s="535"/>
      <c r="J95" s="535"/>
      <c r="K95" s="535"/>
      <c r="L95" s="535"/>
      <c r="M95" s="535"/>
      <c r="N95" s="535"/>
      <c r="O95" s="301" t="s">
        <v>290</v>
      </c>
      <c r="P95" s="536"/>
      <c r="Q95" s="536"/>
      <c r="R95" s="536"/>
      <c r="S95" s="301"/>
      <c r="T95" s="301"/>
      <c r="U95" s="300"/>
      <c r="V95" s="296"/>
    </row>
    <row r="96" spans="1:22" x14ac:dyDescent="0.25">
      <c r="A96" s="296"/>
      <c r="B96" s="307"/>
      <c r="C96" s="301"/>
      <c r="D96" s="301"/>
      <c r="E96" s="535"/>
      <c r="F96" s="535"/>
      <c r="G96" s="535"/>
      <c r="H96" s="535"/>
      <c r="I96" s="535"/>
      <c r="J96" s="535"/>
      <c r="K96" s="535"/>
      <c r="L96" s="535"/>
      <c r="M96" s="535"/>
      <c r="N96" s="535"/>
      <c r="O96" s="301" t="s">
        <v>290</v>
      </c>
      <c r="P96" s="536"/>
      <c r="Q96" s="536"/>
      <c r="R96" s="536"/>
      <c r="S96" s="301"/>
      <c r="T96" s="301"/>
      <c r="U96" s="300"/>
      <c r="V96" s="296"/>
    </row>
    <row r="97" spans="1:22" x14ac:dyDescent="0.25">
      <c r="A97" s="296"/>
      <c r="B97" s="307"/>
      <c r="C97" s="301"/>
      <c r="D97" s="537" t="s">
        <v>301</v>
      </c>
      <c r="E97" s="537"/>
      <c r="F97" s="537"/>
      <c r="G97" s="537"/>
      <c r="H97" s="537"/>
      <c r="I97" s="537"/>
      <c r="J97" s="537"/>
      <c r="K97" s="537"/>
      <c r="L97" s="537"/>
      <c r="M97" s="537"/>
      <c r="N97" s="537"/>
      <c r="O97" s="537"/>
      <c r="P97" s="536"/>
      <c r="Q97" s="536"/>
      <c r="R97" s="536"/>
      <c r="S97" s="301"/>
      <c r="T97" s="301"/>
      <c r="U97" s="300"/>
      <c r="V97" s="296"/>
    </row>
    <row r="98" spans="1:22" x14ac:dyDescent="0.25">
      <c r="A98" s="296"/>
      <c r="B98" s="307"/>
      <c r="C98" s="301"/>
      <c r="D98" s="537" t="s">
        <v>300</v>
      </c>
      <c r="E98" s="537"/>
      <c r="F98" s="537"/>
      <c r="G98" s="537"/>
      <c r="H98" s="537"/>
      <c r="I98" s="537"/>
      <c r="J98" s="537"/>
      <c r="K98" s="537"/>
      <c r="L98" s="537"/>
      <c r="M98" s="537"/>
      <c r="N98" s="537"/>
      <c r="O98" s="537"/>
      <c r="P98" s="536"/>
      <c r="Q98" s="536"/>
      <c r="R98" s="536"/>
      <c r="S98" s="301"/>
      <c r="T98" s="301"/>
      <c r="U98" s="300"/>
      <c r="V98" s="296"/>
    </row>
    <row r="99" spans="1:22" x14ac:dyDescent="0.25">
      <c r="A99" s="296"/>
      <c r="B99" s="307"/>
      <c r="C99" s="301"/>
      <c r="D99" s="553" t="s">
        <v>299</v>
      </c>
      <c r="E99" s="553"/>
      <c r="F99" s="553"/>
      <c r="G99" s="553"/>
      <c r="H99" s="553"/>
      <c r="I99" s="553"/>
      <c r="J99" s="553"/>
      <c r="K99" s="553"/>
      <c r="L99" s="553"/>
      <c r="M99" s="553"/>
      <c r="N99" s="553"/>
      <c r="O99" s="553"/>
      <c r="P99" s="536"/>
      <c r="Q99" s="536"/>
      <c r="R99" s="536"/>
      <c r="S99" s="301"/>
      <c r="T99" s="301"/>
      <c r="U99" s="300"/>
      <c r="V99" s="296"/>
    </row>
    <row r="100" spans="1:22" x14ac:dyDescent="0.25">
      <c r="A100" s="296"/>
      <c r="B100" s="307"/>
      <c r="C100" s="301"/>
      <c r="D100" s="537" t="s">
        <v>298</v>
      </c>
      <c r="E100" s="537"/>
      <c r="F100" s="537"/>
      <c r="G100" s="537"/>
      <c r="H100" s="537"/>
      <c r="I100" s="537"/>
      <c r="J100" s="537"/>
      <c r="K100" s="537"/>
      <c r="L100" s="537"/>
      <c r="M100" s="537"/>
      <c r="N100" s="537"/>
      <c r="O100" s="537"/>
      <c r="P100" s="536">
        <v>75</v>
      </c>
      <c r="Q100" s="536"/>
      <c r="R100" s="536"/>
      <c r="S100" s="301"/>
      <c r="T100" s="301"/>
      <c r="U100" s="300"/>
      <c r="V100" s="296"/>
    </row>
    <row r="101" spans="1:22" x14ac:dyDescent="0.25">
      <c r="A101" s="296"/>
      <c r="B101" s="307"/>
      <c r="C101" s="301"/>
      <c r="D101" s="537" t="s">
        <v>297</v>
      </c>
      <c r="E101" s="537"/>
      <c r="F101" s="537"/>
      <c r="G101" s="537"/>
      <c r="H101" s="537"/>
      <c r="I101" s="537"/>
      <c r="J101" s="537"/>
      <c r="K101" s="537"/>
      <c r="L101" s="537"/>
      <c r="M101" s="537"/>
      <c r="N101" s="537"/>
      <c r="O101" s="537"/>
      <c r="P101" s="536"/>
      <c r="Q101" s="536"/>
      <c r="R101" s="536"/>
      <c r="S101" s="301"/>
      <c r="T101" s="301"/>
      <c r="U101" s="300"/>
      <c r="V101" s="296"/>
    </row>
    <row r="102" spans="1:22" x14ac:dyDescent="0.25">
      <c r="A102" s="296"/>
      <c r="B102" s="307"/>
      <c r="C102" s="301"/>
      <c r="D102" s="301"/>
      <c r="E102" s="301"/>
      <c r="F102" s="301"/>
      <c r="G102" s="301"/>
      <c r="H102" s="301"/>
      <c r="I102" s="301"/>
      <c r="J102" s="301"/>
      <c r="K102" s="301"/>
      <c r="L102" s="301"/>
      <c r="M102" s="301"/>
      <c r="N102" s="301"/>
      <c r="O102" s="301"/>
      <c r="P102" s="301"/>
      <c r="Q102" s="301"/>
      <c r="R102" s="301"/>
      <c r="S102" s="301"/>
      <c r="T102" s="301"/>
      <c r="U102" s="300"/>
      <c r="V102" s="296"/>
    </row>
    <row r="103" spans="1:22" x14ac:dyDescent="0.25">
      <c r="A103" s="296"/>
      <c r="B103" s="307"/>
      <c r="C103" s="313" t="s">
        <v>296</v>
      </c>
      <c r="D103" s="313" t="s">
        <v>295</v>
      </c>
      <c r="E103" s="301"/>
      <c r="F103" s="301"/>
      <c r="G103" s="301"/>
      <c r="H103" s="301"/>
      <c r="I103" s="301"/>
      <c r="J103" s="301"/>
      <c r="K103" s="301"/>
      <c r="L103" s="301"/>
      <c r="M103" s="301"/>
      <c r="N103" s="301"/>
      <c r="O103" s="301"/>
      <c r="P103" s="301"/>
      <c r="Q103" s="301"/>
      <c r="R103" s="301"/>
      <c r="S103" s="301"/>
      <c r="T103" s="301"/>
      <c r="U103" s="300"/>
      <c r="V103" s="296"/>
    </row>
    <row r="104" spans="1:22" x14ac:dyDescent="0.25">
      <c r="A104" s="296"/>
      <c r="B104" s="307"/>
      <c r="C104" s="301"/>
      <c r="D104" s="301" t="s">
        <v>294</v>
      </c>
      <c r="E104" s="301"/>
      <c r="F104" s="301"/>
      <c r="G104" s="301"/>
      <c r="H104" s="301"/>
      <c r="I104" s="301"/>
      <c r="J104" s="301"/>
      <c r="K104" s="301"/>
      <c r="L104" s="301"/>
      <c r="M104" s="301"/>
      <c r="N104" s="301"/>
      <c r="O104" s="301"/>
      <c r="P104" s="301"/>
      <c r="Q104" s="301"/>
      <c r="R104" s="301"/>
      <c r="S104" s="301"/>
      <c r="T104" s="301"/>
      <c r="U104" s="300"/>
      <c r="V104" s="296"/>
    </row>
    <row r="105" spans="1:22" x14ac:dyDescent="0.25">
      <c r="A105" s="296"/>
      <c r="B105" s="307"/>
      <c r="C105" s="301"/>
      <c r="D105" s="301"/>
      <c r="E105" s="551"/>
      <c r="F105" s="551"/>
      <c r="G105" s="551"/>
      <c r="H105" s="551"/>
      <c r="I105" s="551"/>
      <c r="J105" s="551"/>
      <c r="K105" s="551"/>
      <c r="L105" s="551"/>
      <c r="M105" s="551"/>
      <c r="N105" s="551"/>
      <c r="O105" s="301" t="s">
        <v>290</v>
      </c>
      <c r="P105" s="549"/>
      <c r="Q105" s="549"/>
      <c r="R105" s="549"/>
      <c r="S105" s="301"/>
      <c r="T105" s="301"/>
      <c r="U105" s="300"/>
      <c r="V105" s="296"/>
    </row>
    <row r="106" spans="1:22" x14ac:dyDescent="0.25">
      <c r="A106" s="296"/>
      <c r="B106" s="307"/>
      <c r="C106" s="301"/>
      <c r="D106" s="301"/>
      <c r="E106" s="535"/>
      <c r="F106" s="535"/>
      <c r="G106" s="535"/>
      <c r="H106" s="535"/>
      <c r="I106" s="535"/>
      <c r="J106" s="535"/>
      <c r="K106" s="535"/>
      <c r="L106" s="535"/>
      <c r="M106" s="535"/>
      <c r="N106" s="535"/>
      <c r="O106" s="301" t="s">
        <v>290</v>
      </c>
      <c r="P106" s="536"/>
      <c r="Q106" s="536"/>
      <c r="R106" s="536"/>
      <c r="S106" s="301"/>
      <c r="T106" s="301"/>
      <c r="U106" s="300"/>
      <c r="V106" s="296"/>
    </row>
    <row r="107" spans="1:22" x14ac:dyDescent="0.25">
      <c r="A107" s="296"/>
      <c r="B107" s="307"/>
      <c r="C107" s="301"/>
      <c r="D107" s="301"/>
      <c r="E107" s="535"/>
      <c r="F107" s="535"/>
      <c r="G107" s="535"/>
      <c r="H107" s="535"/>
      <c r="I107" s="535"/>
      <c r="J107" s="535"/>
      <c r="K107" s="535"/>
      <c r="L107" s="535"/>
      <c r="M107" s="535"/>
      <c r="N107" s="535"/>
      <c r="O107" s="301" t="s">
        <v>290</v>
      </c>
      <c r="P107" s="536"/>
      <c r="Q107" s="536"/>
      <c r="R107" s="536"/>
      <c r="S107" s="301"/>
      <c r="T107" s="301"/>
      <c r="U107" s="300"/>
      <c r="V107" s="296"/>
    </row>
    <row r="108" spans="1:22" x14ac:dyDescent="0.25">
      <c r="A108" s="296"/>
      <c r="B108" s="307"/>
      <c r="C108" s="301"/>
      <c r="D108" s="301" t="s">
        <v>293</v>
      </c>
      <c r="E108" s="301"/>
      <c r="F108" s="301"/>
      <c r="G108" s="301"/>
      <c r="H108" s="301"/>
      <c r="I108" s="301"/>
      <c r="J108" s="301"/>
      <c r="K108" s="301"/>
      <c r="L108" s="301"/>
      <c r="M108" s="301"/>
      <c r="N108" s="301"/>
      <c r="O108" s="301"/>
      <c r="P108" s="301"/>
      <c r="Q108" s="301"/>
      <c r="R108" s="301"/>
      <c r="S108" s="301"/>
      <c r="T108" s="301"/>
      <c r="U108" s="300"/>
      <c r="V108" s="296"/>
    </row>
    <row r="109" spans="1:22" x14ac:dyDescent="0.25">
      <c r="A109" s="296"/>
      <c r="B109" s="307"/>
      <c r="C109" s="301"/>
      <c r="D109" s="301"/>
      <c r="E109" s="551"/>
      <c r="F109" s="551"/>
      <c r="G109" s="551"/>
      <c r="H109" s="551"/>
      <c r="I109" s="551"/>
      <c r="J109" s="551"/>
      <c r="K109" s="551"/>
      <c r="L109" s="551"/>
      <c r="M109" s="551"/>
      <c r="N109" s="551"/>
      <c r="O109" s="301" t="s">
        <v>290</v>
      </c>
      <c r="P109" s="549"/>
      <c r="Q109" s="549"/>
      <c r="R109" s="549"/>
      <c r="S109" s="301"/>
      <c r="T109" s="301"/>
      <c r="U109" s="300"/>
      <c r="V109" s="296"/>
    </row>
    <row r="110" spans="1:22" x14ac:dyDescent="0.25">
      <c r="A110" s="296"/>
      <c r="B110" s="307"/>
      <c r="C110" s="301"/>
      <c r="D110" s="301" t="s">
        <v>292</v>
      </c>
      <c r="E110" s="301"/>
      <c r="F110" s="301"/>
      <c r="G110" s="301"/>
      <c r="H110" s="301"/>
      <c r="I110" s="301"/>
      <c r="J110" s="301"/>
      <c r="K110" s="301"/>
      <c r="L110" s="301"/>
      <c r="M110" s="301"/>
      <c r="N110" s="301"/>
      <c r="O110" s="301"/>
      <c r="P110" s="314"/>
      <c r="Q110" s="314"/>
      <c r="R110" s="314"/>
      <c r="S110" s="301"/>
      <c r="T110" s="301"/>
      <c r="U110" s="300"/>
      <c r="V110" s="296"/>
    </row>
    <row r="111" spans="1:22" x14ac:dyDescent="0.25">
      <c r="A111" s="296"/>
      <c r="B111" s="307"/>
      <c r="C111" s="301"/>
      <c r="D111" s="301"/>
      <c r="E111" s="551"/>
      <c r="F111" s="551"/>
      <c r="G111" s="551"/>
      <c r="H111" s="551"/>
      <c r="I111" s="551"/>
      <c r="J111" s="551"/>
      <c r="K111" s="551"/>
      <c r="L111" s="551"/>
      <c r="M111" s="551"/>
      <c r="N111" s="551"/>
      <c r="O111" s="301" t="s">
        <v>290</v>
      </c>
      <c r="P111" s="549"/>
      <c r="Q111" s="549"/>
      <c r="R111" s="549"/>
      <c r="S111" s="301"/>
      <c r="T111" s="301"/>
      <c r="U111" s="300"/>
      <c r="V111" s="296"/>
    </row>
    <row r="112" spans="1:22" x14ac:dyDescent="0.25">
      <c r="A112" s="296"/>
      <c r="B112" s="307"/>
      <c r="C112" s="301"/>
      <c r="D112" s="301" t="s">
        <v>291</v>
      </c>
      <c r="E112" s="301"/>
      <c r="F112" s="301"/>
      <c r="G112" s="301"/>
      <c r="H112" s="301"/>
      <c r="I112" s="301"/>
      <c r="J112" s="301"/>
      <c r="K112" s="301"/>
      <c r="L112" s="301"/>
      <c r="M112" s="301"/>
      <c r="N112" s="301"/>
      <c r="O112" s="301"/>
      <c r="P112" s="314"/>
      <c r="Q112" s="314"/>
      <c r="R112" s="314"/>
      <c r="S112" s="301"/>
      <c r="T112" s="301"/>
      <c r="U112" s="300"/>
      <c r="V112" s="296"/>
    </row>
    <row r="113" spans="1:22" x14ac:dyDescent="0.25">
      <c r="A113" s="296"/>
      <c r="B113" s="307"/>
      <c r="C113" s="301"/>
      <c r="D113" s="301"/>
      <c r="E113" s="551"/>
      <c r="F113" s="551"/>
      <c r="G113" s="551"/>
      <c r="H113" s="551"/>
      <c r="I113" s="551"/>
      <c r="J113" s="551"/>
      <c r="K113" s="551"/>
      <c r="L113" s="551"/>
      <c r="M113" s="551"/>
      <c r="N113" s="551"/>
      <c r="O113" s="301" t="s">
        <v>290</v>
      </c>
      <c r="P113" s="549"/>
      <c r="Q113" s="549"/>
      <c r="R113" s="549"/>
      <c r="S113" s="301"/>
      <c r="T113" s="301"/>
      <c r="U113" s="300"/>
      <c r="V113" s="296"/>
    </row>
    <row r="114" spans="1:22" x14ac:dyDescent="0.25">
      <c r="A114" s="296"/>
      <c r="B114" s="307"/>
      <c r="C114" s="301"/>
      <c r="D114" s="301"/>
      <c r="E114" s="301"/>
      <c r="F114" s="301"/>
      <c r="G114" s="301"/>
      <c r="H114" s="301"/>
      <c r="I114" s="301"/>
      <c r="J114" s="301"/>
      <c r="K114" s="301"/>
      <c r="L114" s="301"/>
      <c r="M114" s="301"/>
      <c r="N114" s="301"/>
      <c r="O114" s="301"/>
      <c r="P114" s="301"/>
      <c r="Q114" s="301"/>
      <c r="R114" s="301"/>
      <c r="S114" s="301"/>
      <c r="T114" s="301"/>
      <c r="U114" s="300"/>
      <c r="V114" s="296"/>
    </row>
    <row r="115" spans="1:22" x14ac:dyDescent="0.25">
      <c r="A115" s="296"/>
      <c r="B115" s="307"/>
      <c r="C115" s="301"/>
      <c r="D115" s="301"/>
      <c r="E115" s="301"/>
      <c r="F115" s="301"/>
      <c r="G115" s="301"/>
      <c r="H115" s="301"/>
      <c r="I115" s="301"/>
      <c r="J115" s="554" t="s">
        <v>289</v>
      </c>
      <c r="K115" s="554"/>
      <c r="L115" s="554"/>
      <c r="M115" s="554"/>
      <c r="N115" s="554"/>
      <c r="O115" s="554"/>
      <c r="P115" s="554"/>
      <c r="Q115" s="554"/>
      <c r="R115" s="554"/>
      <c r="T115" s="326">
        <f>P92+P100</f>
        <v>1725</v>
      </c>
      <c r="U115" s="300"/>
      <c r="V115" s="296"/>
    </row>
    <row r="116" spans="1:22" x14ac:dyDescent="0.25">
      <c r="A116" s="296"/>
      <c r="B116" s="307"/>
      <c r="C116" s="301"/>
      <c r="D116" s="301"/>
      <c r="E116" s="301"/>
      <c r="F116" s="301"/>
      <c r="G116" s="301"/>
      <c r="H116" s="301"/>
      <c r="I116" s="301"/>
      <c r="J116" s="301"/>
      <c r="K116" s="301"/>
      <c r="L116" s="301"/>
      <c r="M116" s="301"/>
      <c r="N116" s="301"/>
      <c r="O116" s="301"/>
      <c r="P116" s="301"/>
      <c r="Q116" s="301"/>
      <c r="R116" s="301"/>
      <c r="S116" s="301"/>
      <c r="T116" s="301"/>
      <c r="U116" s="300"/>
      <c r="V116" s="296"/>
    </row>
    <row r="117" spans="1:22" x14ac:dyDescent="0.25">
      <c r="A117" s="296"/>
      <c r="B117" s="307"/>
      <c r="C117" s="325" t="s">
        <v>288</v>
      </c>
      <c r="D117" s="325" t="s">
        <v>287</v>
      </c>
      <c r="E117" s="325"/>
      <c r="F117" s="325"/>
      <c r="G117" s="301"/>
      <c r="H117" s="301"/>
      <c r="I117" s="301"/>
      <c r="J117" s="301"/>
      <c r="K117" s="301"/>
      <c r="L117" s="301"/>
      <c r="M117" s="301"/>
      <c r="N117" s="301"/>
      <c r="O117" s="301"/>
      <c r="P117" s="301"/>
      <c r="Q117" s="301"/>
      <c r="R117" s="301"/>
      <c r="S117" s="301"/>
      <c r="T117" s="301"/>
      <c r="U117" s="300"/>
      <c r="V117" s="296"/>
    </row>
    <row r="118" spans="1:22" x14ac:dyDescent="0.25">
      <c r="A118" s="296"/>
      <c r="B118" s="307"/>
      <c r="C118" s="301"/>
      <c r="D118" s="301" t="s">
        <v>262</v>
      </c>
      <c r="E118" s="324" t="s">
        <v>286</v>
      </c>
      <c r="F118" s="324"/>
      <c r="G118" s="302"/>
      <c r="H118" s="302"/>
      <c r="I118" s="302"/>
      <c r="J118" s="302"/>
      <c r="K118" s="301"/>
      <c r="L118" s="301"/>
      <c r="M118" s="301"/>
      <c r="N118" s="301"/>
      <c r="O118" s="301"/>
      <c r="P118" s="301"/>
      <c r="Q118" s="301"/>
      <c r="R118" s="301"/>
      <c r="S118" s="301"/>
      <c r="T118" s="301"/>
      <c r="U118" s="300"/>
      <c r="V118" s="296"/>
    </row>
    <row r="119" spans="1:22" x14ac:dyDescent="0.25">
      <c r="A119" s="296"/>
      <c r="B119" s="307"/>
      <c r="C119" s="301"/>
      <c r="D119" s="301"/>
      <c r="E119" s="552" t="s">
        <v>285</v>
      </c>
      <c r="F119" s="552"/>
      <c r="G119" s="552"/>
      <c r="H119" s="552"/>
      <c r="I119" s="552"/>
      <c r="J119" s="552"/>
      <c r="K119" s="308">
        <v>0</v>
      </c>
      <c r="L119" s="301" t="s">
        <v>278</v>
      </c>
      <c r="M119" s="301"/>
      <c r="N119" s="549">
        <v>0</v>
      </c>
      <c r="O119" s="549"/>
      <c r="P119" s="301"/>
      <c r="Q119" s="301"/>
      <c r="R119" s="301"/>
      <c r="S119" s="301"/>
      <c r="T119" s="301"/>
      <c r="U119" s="300"/>
      <c r="V119" s="296"/>
    </row>
    <row r="120" spans="1:22" x14ac:dyDescent="0.25">
      <c r="A120" s="296"/>
      <c r="B120" s="307"/>
      <c r="C120" s="301"/>
      <c r="D120" s="301"/>
      <c r="E120" s="552" t="s">
        <v>284</v>
      </c>
      <c r="F120" s="552"/>
      <c r="G120" s="552"/>
      <c r="H120" s="552"/>
      <c r="I120" s="552"/>
      <c r="J120" s="552"/>
      <c r="K120" s="308">
        <v>0</v>
      </c>
      <c r="L120" s="301" t="s">
        <v>278</v>
      </c>
      <c r="M120" s="301"/>
      <c r="N120" s="536">
        <v>0</v>
      </c>
      <c r="O120" s="536"/>
      <c r="P120" s="301"/>
      <c r="Q120" s="301"/>
      <c r="R120" s="301"/>
      <c r="S120" s="301"/>
      <c r="T120" s="301"/>
      <c r="U120" s="300"/>
      <c r="V120" s="296"/>
    </row>
    <row r="121" spans="1:22" x14ac:dyDescent="0.25">
      <c r="A121" s="296"/>
      <c r="B121" s="307"/>
      <c r="C121" s="301"/>
      <c r="D121" s="301"/>
      <c r="E121" s="552" t="s">
        <v>283</v>
      </c>
      <c r="F121" s="552"/>
      <c r="G121" s="552"/>
      <c r="H121" s="552"/>
      <c r="I121" s="552"/>
      <c r="J121" s="552"/>
      <c r="K121" s="308">
        <v>0</v>
      </c>
      <c r="L121" s="301" t="s">
        <v>278</v>
      </c>
      <c r="M121" s="301"/>
      <c r="N121" s="536">
        <v>0</v>
      </c>
      <c r="O121" s="536"/>
      <c r="P121" s="301"/>
      <c r="Q121" s="301"/>
      <c r="R121" s="301"/>
      <c r="S121" s="301"/>
      <c r="T121" s="301"/>
      <c r="U121" s="300"/>
      <c r="V121" s="296"/>
    </row>
    <row r="122" spans="1:22" x14ac:dyDescent="0.25">
      <c r="A122" s="296"/>
      <c r="B122" s="307"/>
      <c r="C122" s="301"/>
      <c r="D122" s="301"/>
      <c r="E122" s="552" t="s">
        <v>282</v>
      </c>
      <c r="F122" s="552"/>
      <c r="G122" s="552"/>
      <c r="H122" s="552"/>
      <c r="I122" s="552"/>
      <c r="J122" s="552"/>
      <c r="K122" s="308">
        <v>0</v>
      </c>
      <c r="L122" s="301" t="s">
        <v>278</v>
      </c>
      <c r="M122" s="301"/>
      <c r="N122" s="536">
        <v>0</v>
      </c>
      <c r="O122" s="536"/>
      <c r="P122" s="301"/>
      <c r="Q122" s="301"/>
      <c r="R122" s="301"/>
      <c r="S122" s="301"/>
      <c r="T122" s="301"/>
      <c r="U122" s="300"/>
      <c r="V122" s="296"/>
    </row>
    <row r="123" spans="1:22" x14ac:dyDescent="0.25">
      <c r="A123" s="296"/>
      <c r="B123" s="307"/>
      <c r="C123" s="301"/>
      <c r="D123" s="301"/>
      <c r="E123" s="552" t="s">
        <v>281</v>
      </c>
      <c r="F123" s="552"/>
      <c r="G123" s="552"/>
      <c r="H123" s="552"/>
      <c r="I123" s="552"/>
      <c r="J123" s="552"/>
      <c r="K123" s="308">
        <v>0</v>
      </c>
      <c r="L123" s="301" t="s">
        <v>278</v>
      </c>
      <c r="M123" s="301"/>
      <c r="N123" s="536">
        <v>0</v>
      </c>
      <c r="O123" s="536"/>
      <c r="P123" s="301"/>
      <c r="Q123" s="301"/>
      <c r="R123" s="301"/>
      <c r="S123" s="301"/>
      <c r="T123" s="301"/>
      <c r="U123" s="300"/>
      <c r="V123" s="296"/>
    </row>
    <row r="124" spans="1:22" x14ac:dyDescent="0.25">
      <c r="A124" s="296"/>
      <c r="B124" s="307"/>
      <c r="C124" s="301"/>
      <c r="D124" s="301"/>
      <c r="E124" s="324"/>
      <c r="F124" s="552" t="s">
        <v>280</v>
      </c>
      <c r="G124" s="552"/>
      <c r="H124" s="552"/>
      <c r="I124" s="552"/>
      <c r="J124" s="552"/>
      <c r="K124" s="552"/>
      <c r="L124" s="552"/>
      <c r="M124" s="552"/>
      <c r="N124" s="552"/>
      <c r="O124" s="552"/>
      <c r="P124" s="549">
        <v>0</v>
      </c>
      <c r="Q124" s="549"/>
      <c r="R124" s="549"/>
      <c r="S124" s="301"/>
      <c r="T124" s="301"/>
      <c r="U124" s="300"/>
      <c r="V124" s="296"/>
    </row>
    <row r="125" spans="1:22" x14ac:dyDescent="0.25">
      <c r="A125" s="296"/>
      <c r="B125" s="307"/>
      <c r="C125" s="301"/>
      <c r="D125" s="301" t="s">
        <v>252</v>
      </c>
      <c r="E125" s="552" t="s">
        <v>279</v>
      </c>
      <c r="F125" s="552"/>
      <c r="G125" s="552"/>
      <c r="H125" s="552"/>
      <c r="I125" s="552"/>
      <c r="J125" s="552"/>
      <c r="K125" s="308">
        <v>10</v>
      </c>
      <c r="L125" s="301" t="s">
        <v>278</v>
      </c>
      <c r="M125" s="537" t="s">
        <v>277</v>
      </c>
      <c r="N125" s="537"/>
      <c r="O125" s="537"/>
      <c r="P125" s="536">
        <v>100</v>
      </c>
      <c r="Q125" s="536"/>
      <c r="R125" s="536"/>
      <c r="S125" s="301"/>
      <c r="T125" s="301"/>
      <c r="U125" s="300"/>
      <c r="V125" s="296"/>
    </row>
    <row r="126" spans="1:22" x14ac:dyDescent="0.25">
      <c r="A126" s="296"/>
      <c r="B126" s="307"/>
      <c r="C126" s="301"/>
      <c r="D126" s="301" t="s">
        <v>276</v>
      </c>
      <c r="E126" s="552" t="s">
        <v>275</v>
      </c>
      <c r="F126" s="552"/>
      <c r="G126" s="552"/>
      <c r="H126" s="552"/>
      <c r="I126" s="552"/>
      <c r="J126" s="552"/>
      <c r="K126" s="552"/>
      <c r="L126" s="552"/>
      <c r="M126" s="552"/>
      <c r="N126" s="552"/>
      <c r="O126" s="552"/>
      <c r="P126" s="536"/>
      <c r="Q126" s="536"/>
      <c r="R126" s="536"/>
      <c r="S126" s="301"/>
      <c r="T126" s="301"/>
      <c r="U126" s="300"/>
      <c r="V126" s="296"/>
    </row>
    <row r="127" spans="1:22" x14ac:dyDescent="0.25">
      <c r="A127" s="296"/>
      <c r="B127" s="307"/>
      <c r="C127" s="301"/>
      <c r="D127" s="301" t="s">
        <v>274</v>
      </c>
      <c r="E127" s="552" t="s">
        <v>273</v>
      </c>
      <c r="F127" s="552"/>
      <c r="G127" s="552"/>
      <c r="H127" s="552"/>
      <c r="I127" s="552"/>
      <c r="J127" s="552"/>
      <c r="K127" s="552"/>
      <c r="L127" s="552"/>
      <c r="M127" s="552"/>
      <c r="N127" s="552"/>
      <c r="O127" s="552"/>
      <c r="P127" s="536"/>
      <c r="Q127" s="536"/>
      <c r="R127" s="536"/>
      <c r="S127" s="301"/>
      <c r="T127" s="301"/>
      <c r="U127" s="300"/>
      <c r="V127" s="296"/>
    </row>
    <row r="128" spans="1:22" x14ac:dyDescent="0.25">
      <c r="A128" s="296"/>
      <c r="B128" s="307"/>
      <c r="C128" s="301"/>
      <c r="D128" s="301" t="s">
        <v>272</v>
      </c>
      <c r="E128" s="552" t="s">
        <v>271</v>
      </c>
      <c r="F128" s="552"/>
      <c r="G128" s="552"/>
      <c r="H128" s="552"/>
      <c r="I128" s="552"/>
      <c r="J128" s="552"/>
      <c r="K128" s="552"/>
      <c r="L128" s="552"/>
      <c r="M128" s="552"/>
      <c r="N128" s="552"/>
      <c r="O128" s="552"/>
      <c r="P128" s="536"/>
      <c r="Q128" s="536"/>
      <c r="R128" s="536"/>
      <c r="S128" s="301"/>
      <c r="T128" s="301"/>
      <c r="U128" s="300"/>
      <c r="V128" s="296"/>
    </row>
    <row r="129" spans="1:22" x14ac:dyDescent="0.25">
      <c r="A129" s="296"/>
      <c r="B129" s="307"/>
      <c r="C129" s="301"/>
      <c r="D129" s="301"/>
      <c r="E129" s="301"/>
      <c r="F129" s="301"/>
      <c r="G129" s="301"/>
      <c r="H129" s="301"/>
      <c r="I129" s="301"/>
      <c r="J129" s="554" t="s">
        <v>270</v>
      </c>
      <c r="K129" s="554"/>
      <c r="L129" s="554"/>
      <c r="M129" s="554"/>
      <c r="N129" s="554"/>
      <c r="O129" s="554"/>
      <c r="P129" s="554"/>
      <c r="Q129" s="554"/>
      <c r="R129" s="554"/>
      <c r="U129" s="300"/>
      <c r="V129" s="296"/>
    </row>
    <row r="130" spans="1:22" ht="15.75" thickBot="1" x14ac:dyDescent="0.3">
      <c r="A130" s="296"/>
      <c r="B130" s="307"/>
      <c r="C130" s="301"/>
      <c r="D130" s="301"/>
      <c r="E130" s="301"/>
      <c r="F130" s="301"/>
      <c r="G130" s="301"/>
      <c r="H130" s="301"/>
      <c r="I130" s="301"/>
      <c r="J130" s="301"/>
      <c r="K130" s="301"/>
      <c r="L130" s="301"/>
      <c r="M130" s="301"/>
      <c r="N130" s="301"/>
      <c r="O130" s="301"/>
      <c r="P130" s="301"/>
      <c r="Q130" s="301"/>
      <c r="R130" s="301"/>
      <c r="S130" s="555">
        <f>SUM(P124+P125)</f>
        <v>100</v>
      </c>
      <c r="T130" s="555"/>
      <c r="U130" s="300"/>
      <c r="V130" s="296"/>
    </row>
    <row r="131" spans="1:22" ht="15.75" thickBot="1" x14ac:dyDescent="0.3">
      <c r="A131" s="296"/>
      <c r="B131" s="307"/>
      <c r="C131" s="301"/>
      <c r="D131" s="301"/>
      <c r="E131" s="321" t="s">
        <v>269</v>
      </c>
      <c r="F131" s="301"/>
      <c r="G131" s="301"/>
      <c r="H131" s="561" t="s">
        <v>268</v>
      </c>
      <c r="I131" s="561"/>
      <c r="J131" s="561"/>
      <c r="K131" s="561"/>
      <c r="L131" s="561"/>
      <c r="M131" s="561"/>
      <c r="N131" s="561"/>
      <c r="O131" s="561"/>
      <c r="P131" s="561"/>
      <c r="Q131" s="561"/>
      <c r="R131" s="562"/>
      <c r="S131" s="558">
        <f>T115-S130</f>
        <v>1625</v>
      </c>
      <c r="T131" s="559"/>
      <c r="U131" s="300"/>
      <c r="V131" s="296"/>
    </row>
    <row r="132" spans="1:22" x14ac:dyDescent="0.25">
      <c r="A132" s="296"/>
      <c r="B132" s="307"/>
      <c r="C132" s="301"/>
      <c r="D132" s="301"/>
      <c r="E132" s="321" t="s">
        <v>267</v>
      </c>
      <c r="F132" s="301"/>
      <c r="G132" s="301"/>
      <c r="H132" s="301"/>
      <c r="I132" s="301"/>
      <c r="J132" s="314"/>
      <c r="K132" s="301"/>
      <c r="L132" s="301"/>
      <c r="M132" s="301"/>
      <c r="N132" s="301"/>
      <c r="O132" s="301"/>
      <c r="P132" s="301"/>
      <c r="Q132" s="301"/>
      <c r="R132" s="301"/>
      <c r="S132" s="301"/>
      <c r="T132" s="301"/>
      <c r="U132" s="300"/>
      <c r="V132" s="296"/>
    </row>
    <row r="133" spans="1:22" x14ac:dyDescent="0.25">
      <c r="A133" s="296"/>
      <c r="B133" s="307"/>
      <c r="C133" s="301"/>
      <c r="D133" s="301"/>
      <c r="E133" s="301"/>
      <c r="F133" s="301"/>
      <c r="G133" s="301"/>
      <c r="H133" s="560">
        <v>1</v>
      </c>
      <c r="I133" s="560"/>
      <c r="J133" s="560"/>
      <c r="K133" s="323"/>
      <c r="L133" s="301" t="s">
        <v>266</v>
      </c>
      <c r="M133" s="301"/>
      <c r="N133" s="560" t="s">
        <v>0</v>
      </c>
      <c r="O133" s="560"/>
      <c r="P133" s="301" t="s">
        <v>265</v>
      </c>
      <c r="Q133" s="322">
        <v>2022</v>
      </c>
      <c r="R133" s="301"/>
      <c r="S133" s="301"/>
      <c r="T133" s="301"/>
      <c r="U133" s="300"/>
      <c r="V133" s="296"/>
    </row>
    <row r="134" spans="1:22" x14ac:dyDescent="0.25">
      <c r="A134" s="296"/>
      <c r="B134" s="307"/>
      <c r="C134" s="301"/>
      <c r="D134" s="301"/>
      <c r="E134" s="301"/>
      <c r="F134" s="301"/>
      <c r="G134" s="301"/>
      <c r="H134" s="301"/>
      <c r="I134" s="301"/>
      <c r="J134" s="301"/>
      <c r="K134" s="301"/>
      <c r="L134" s="301"/>
      <c r="M134" s="301"/>
      <c r="N134" s="301"/>
      <c r="O134" s="301"/>
      <c r="P134" s="301"/>
      <c r="Q134" s="301"/>
      <c r="R134" s="301"/>
      <c r="S134" s="301"/>
      <c r="T134" s="301"/>
      <c r="U134" s="300"/>
      <c r="V134" s="296"/>
    </row>
    <row r="135" spans="1:22" x14ac:dyDescent="0.25">
      <c r="A135" s="296"/>
      <c r="B135" s="307"/>
      <c r="C135" s="301"/>
      <c r="D135" s="301"/>
      <c r="E135" s="301"/>
      <c r="F135" s="301"/>
      <c r="G135" s="301"/>
      <c r="H135" s="301"/>
      <c r="I135" s="301"/>
      <c r="J135" s="301"/>
      <c r="K135" s="301"/>
      <c r="L135" s="301"/>
      <c r="M135" s="301"/>
      <c r="N135" s="301"/>
      <c r="O135" s="321" t="s">
        <v>264</v>
      </c>
      <c r="P135" s="301"/>
      <c r="Q135" s="301"/>
      <c r="R135" s="301"/>
      <c r="S135" s="301"/>
      <c r="T135" s="301"/>
      <c r="U135" s="300"/>
      <c r="V135" s="296"/>
    </row>
    <row r="136" spans="1:22" x14ac:dyDescent="0.25">
      <c r="A136" s="296"/>
      <c r="B136" s="307"/>
      <c r="C136" s="301"/>
      <c r="D136" s="301"/>
      <c r="E136" s="301"/>
      <c r="F136" s="301"/>
      <c r="G136" s="301"/>
      <c r="H136" s="301"/>
      <c r="I136" s="301"/>
      <c r="J136" s="301"/>
      <c r="K136" s="301"/>
      <c r="L136" s="301"/>
      <c r="M136" s="301"/>
      <c r="N136" s="301"/>
      <c r="O136" s="301"/>
      <c r="P136" s="301"/>
      <c r="Q136" s="301"/>
      <c r="R136" s="301"/>
      <c r="S136" s="301"/>
      <c r="T136" s="301"/>
      <c r="U136" s="300"/>
      <c r="V136" s="296"/>
    </row>
    <row r="137" spans="1:22" x14ac:dyDescent="0.25">
      <c r="A137" s="296"/>
      <c r="B137" s="299"/>
      <c r="C137" s="298"/>
      <c r="D137" s="298"/>
      <c r="E137" s="298"/>
      <c r="F137" s="298"/>
      <c r="G137" s="298"/>
      <c r="H137" s="298"/>
      <c r="I137" s="298"/>
      <c r="J137" s="298"/>
      <c r="K137" s="298"/>
      <c r="L137" s="298"/>
      <c r="M137" s="298"/>
      <c r="N137" s="298"/>
      <c r="O137" s="298"/>
      <c r="P137" s="298"/>
      <c r="Q137" s="298"/>
      <c r="R137" s="298"/>
      <c r="S137" s="298"/>
      <c r="T137" s="298"/>
      <c r="U137" s="297"/>
      <c r="V137" s="296"/>
    </row>
    <row r="138" spans="1:22" x14ac:dyDescent="0.25">
      <c r="A138" s="296"/>
      <c r="B138" s="296"/>
      <c r="C138" s="296"/>
      <c r="D138" s="296"/>
      <c r="E138" s="296"/>
      <c r="F138" s="296"/>
      <c r="G138" s="296"/>
      <c r="H138" s="296"/>
      <c r="I138" s="296"/>
      <c r="J138" s="296"/>
      <c r="K138" s="296"/>
      <c r="L138" s="296"/>
      <c r="M138" s="296"/>
      <c r="N138" s="296"/>
      <c r="O138" s="296"/>
      <c r="P138" s="296"/>
      <c r="Q138" s="296"/>
      <c r="R138" s="296"/>
      <c r="S138" s="296"/>
      <c r="T138" s="296"/>
      <c r="U138" s="296"/>
      <c r="V138" s="296"/>
    </row>
    <row r="139" spans="1:22" x14ac:dyDescent="0.25">
      <c r="A139" s="296"/>
      <c r="B139" s="296"/>
      <c r="C139" s="296"/>
      <c r="D139" s="296"/>
      <c r="E139" s="296"/>
      <c r="F139" s="296"/>
      <c r="G139" s="296"/>
      <c r="H139" s="296"/>
      <c r="I139" s="296"/>
      <c r="J139" s="296"/>
      <c r="K139" s="296"/>
      <c r="L139" s="296"/>
      <c r="M139" s="296"/>
      <c r="N139" s="296"/>
      <c r="O139" s="296"/>
      <c r="P139" s="296"/>
      <c r="Q139" s="296"/>
      <c r="R139" s="296"/>
      <c r="S139" s="296"/>
      <c r="T139" s="296"/>
      <c r="U139" s="296"/>
      <c r="V139" s="296"/>
    </row>
    <row r="140" spans="1:22" x14ac:dyDescent="0.25">
      <c r="A140" s="296"/>
      <c r="B140" s="320" t="s">
        <v>263</v>
      </c>
      <c r="D140" s="319"/>
      <c r="E140" s="319"/>
      <c r="F140" s="319"/>
      <c r="G140" s="319"/>
      <c r="H140" s="319"/>
      <c r="I140" s="319"/>
      <c r="J140" s="319"/>
      <c r="K140" s="319"/>
      <c r="L140" s="319"/>
      <c r="M140" s="319"/>
      <c r="N140" s="319"/>
      <c r="O140" s="319"/>
      <c r="P140" s="319"/>
      <c r="Q140" s="319"/>
      <c r="R140" s="319"/>
      <c r="S140" s="319"/>
      <c r="T140" s="319"/>
      <c r="U140" s="318"/>
      <c r="V140" s="296"/>
    </row>
    <row r="141" spans="1:22" x14ac:dyDescent="0.25">
      <c r="A141" s="296"/>
      <c r="B141" s="307"/>
      <c r="C141" s="301"/>
      <c r="D141" s="301"/>
      <c r="E141" s="301"/>
      <c r="F141" s="301"/>
      <c r="G141" s="301"/>
      <c r="H141" s="301"/>
      <c r="I141" s="301"/>
      <c r="J141" s="301"/>
      <c r="K141" s="301"/>
      <c r="L141" s="301"/>
      <c r="M141" s="301"/>
      <c r="N141" s="301"/>
      <c r="O141" s="301"/>
      <c r="P141" s="301"/>
      <c r="Q141" s="301"/>
      <c r="R141" s="301"/>
      <c r="S141" s="301"/>
      <c r="T141" s="301"/>
      <c r="U141" s="300"/>
      <c r="V141" s="296"/>
    </row>
    <row r="142" spans="1:22" x14ac:dyDescent="0.25">
      <c r="A142" s="296"/>
      <c r="B142" s="307"/>
      <c r="C142" s="301"/>
      <c r="D142" s="301" t="s">
        <v>262</v>
      </c>
      <c r="E142" s="553" t="s">
        <v>261</v>
      </c>
      <c r="F142" s="553"/>
      <c r="G142" s="553"/>
      <c r="H142" s="553"/>
      <c r="I142" s="553"/>
      <c r="J142" s="553"/>
      <c r="K142" s="553"/>
      <c r="L142" s="553"/>
      <c r="M142" s="302"/>
      <c r="N142" s="302"/>
      <c r="O142" s="317" t="s">
        <v>260</v>
      </c>
      <c r="P142" s="317"/>
      <c r="Q142" s="317" t="s">
        <v>259</v>
      </c>
      <c r="R142" s="316" t="s">
        <v>258</v>
      </c>
      <c r="U142" s="300"/>
      <c r="V142" s="296"/>
    </row>
    <row r="143" spans="1:22" x14ac:dyDescent="0.25">
      <c r="A143" s="296"/>
      <c r="B143" s="307"/>
      <c r="C143" s="301"/>
      <c r="D143" s="301"/>
      <c r="E143" s="315" t="s">
        <v>257</v>
      </c>
      <c r="F143" s="315"/>
      <c r="G143" s="315"/>
      <c r="H143" s="315"/>
      <c r="I143" s="315"/>
      <c r="J143" s="315"/>
      <c r="K143" s="315"/>
      <c r="L143" s="315"/>
      <c r="M143" s="556">
        <f>P92</f>
        <v>1650</v>
      </c>
      <c r="N143" s="556"/>
      <c r="O143" s="317"/>
      <c r="P143" s="317"/>
      <c r="Q143" s="317"/>
      <c r="R143" s="316" t="s">
        <v>256</v>
      </c>
      <c r="U143" s="300"/>
      <c r="V143" s="296"/>
    </row>
    <row r="144" spans="1:22" x14ac:dyDescent="0.25">
      <c r="A144" s="296"/>
      <c r="B144" s="307"/>
      <c r="C144" s="301"/>
      <c r="D144" s="301"/>
      <c r="E144" s="315" t="s">
        <v>255</v>
      </c>
      <c r="F144" s="315"/>
      <c r="G144" s="315"/>
      <c r="H144" s="315"/>
      <c r="I144" s="315"/>
      <c r="J144" s="315"/>
      <c r="K144" s="315"/>
      <c r="L144" s="315"/>
      <c r="M144" s="556">
        <f>($T$115*2)/12</f>
        <v>287.5</v>
      </c>
      <c r="N144" s="556"/>
      <c r="O144" s="301"/>
      <c r="P144" s="301"/>
      <c r="Q144" s="301"/>
      <c r="R144" s="301"/>
      <c r="U144" s="300"/>
      <c r="V144" s="296"/>
    </row>
    <row r="145" spans="1:22" x14ac:dyDescent="0.25">
      <c r="A145" s="296"/>
      <c r="B145" s="307"/>
      <c r="C145" s="301"/>
      <c r="D145" s="301"/>
      <c r="E145" s="302"/>
      <c r="F145" s="302"/>
      <c r="G145" s="302"/>
      <c r="H145" s="302"/>
      <c r="I145" s="302"/>
      <c r="J145" s="313" t="s">
        <v>254</v>
      </c>
      <c r="K145" s="313"/>
      <c r="L145" s="313"/>
      <c r="M145" s="556"/>
      <c r="N145" s="556"/>
      <c r="O145" s="306">
        <f>SUM(M143:N144)</f>
        <v>1937.5</v>
      </c>
      <c r="P145" s="305"/>
      <c r="Q145" s="309">
        <v>0.23599999999999999</v>
      </c>
      <c r="R145" s="308">
        <f>O145*0.0236</f>
        <v>45.725000000000001</v>
      </c>
      <c r="U145" s="300"/>
      <c r="V145" s="296"/>
    </row>
    <row r="146" spans="1:22" x14ac:dyDescent="0.25">
      <c r="A146" s="296"/>
      <c r="B146" s="307"/>
      <c r="C146" s="301"/>
      <c r="D146" s="301"/>
      <c r="E146" s="302"/>
      <c r="F146" s="302"/>
      <c r="G146" s="302"/>
      <c r="H146" s="302"/>
      <c r="I146" s="312" t="s">
        <v>253</v>
      </c>
      <c r="J146" s="313"/>
      <c r="K146" s="313"/>
      <c r="L146" s="313"/>
      <c r="M146" s="314"/>
      <c r="N146" s="313"/>
      <c r="O146" s="310"/>
      <c r="P146" s="310"/>
      <c r="Q146" s="309">
        <v>1.35E-2</v>
      </c>
      <c r="R146" s="308">
        <f>O145*0.0135</f>
        <v>26.15625</v>
      </c>
      <c r="U146" s="300"/>
      <c r="V146" s="296"/>
    </row>
    <row r="147" spans="1:22" x14ac:dyDescent="0.25">
      <c r="A147" s="296"/>
      <c r="B147" s="307"/>
      <c r="C147" s="301"/>
      <c r="D147" s="301" t="s">
        <v>252</v>
      </c>
      <c r="E147" s="302" t="s">
        <v>251</v>
      </c>
      <c r="F147" s="302"/>
      <c r="G147" s="302"/>
      <c r="H147" s="302"/>
      <c r="I147" s="312" t="s">
        <v>250</v>
      </c>
      <c r="J147" s="302"/>
      <c r="K147" s="302"/>
      <c r="L147" s="302"/>
      <c r="M147" s="307"/>
      <c r="N147" s="302"/>
      <c r="O147" s="301"/>
      <c r="P147" s="301"/>
      <c r="Q147" s="309">
        <v>5.5E-2</v>
      </c>
      <c r="R147" s="308">
        <f>O145*0.055</f>
        <v>106.5625</v>
      </c>
      <c r="U147" s="300"/>
      <c r="V147" s="296"/>
    </row>
    <row r="148" spans="1:22" x14ac:dyDescent="0.25">
      <c r="A148" s="296"/>
      <c r="B148" s="307"/>
      <c r="C148" s="301"/>
      <c r="D148" s="301"/>
      <c r="E148" s="302" t="s">
        <v>249</v>
      </c>
      <c r="F148" s="302"/>
      <c r="G148" s="302"/>
      <c r="H148" s="302"/>
      <c r="I148" s="312" t="s">
        <v>248</v>
      </c>
      <c r="J148" s="302"/>
      <c r="K148" s="302"/>
      <c r="L148" s="302"/>
      <c r="M148" s="557"/>
      <c r="N148" s="556"/>
      <c r="O148" s="306">
        <f>O145</f>
        <v>1937.5</v>
      </c>
      <c r="P148" s="305"/>
      <c r="Q148" s="309">
        <v>6.0000000000000001E-3</v>
      </c>
      <c r="R148" s="308">
        <f>O145*0.006</f>
        <v>11.625</v>
      </c>
      <c r="U148" s="300"/>
      <c r="V148" s="296"/>
    </row>
    <row r="149" spans="1:22" x14ac:dyDescent="0.25">
      <c r="A149" s="296"/>
      <c r="B149" s="307"/>
      <c r="C149" s="301"/>
      <c r="D149" s="301"/>
      <c r="E149" s="302"/>
      <c r="F149" s="302"/>
      <c r="G149" s="302"/>
      <c r="H149" s="302"/>
      <c r="I149" s="312" t="s">
        <v>247</v>
      </c>
      <c r="J149" s="302"/>
      <c r="K149" s="302"/>
      <c r="L149" s="302"/>
      <c r="M149" s="311"/>
      <c r="N149" s="302"/>
      <c r="O149" s="310"/>
      <c r="P149" s="310"/>
      <c r="Q149" s="309">
        <v>2E-3</v>
      </c>
      <c r="R149" s="308">
        <v>2.3333333333333335</v>
      </c>
      <c r="U149" s="300"/>
      <c r="V149" s="296"/>
    </row>
    <row r="150" spans="1:22" x14ac:dyDescent="0.25">
      <c r="A150" s="296"/>
      <c r="B150" s="307"/>
      <c r="C150" s="301"/>
      <c r="D150" s="301" t="s">
        <v>246</v>
      </c>
      <c r="E150" s="302" t="s">
        <v>245</v>
      </c>
      <c r="F150" s="302"/>
      <c r="G150" s="302"/>
      <c r="H150" s="302"/>
      <c r="I150" s="302"/>
      <c r="J150" s="302"/>
      <c r="K150" s="302"/>
      <c r="L150" s="302"/>
      <c r="M150" s="556"/>
      <c r="N150" s="556"/>
      <c r="O150" s="306">
        <f>O147</f>
        <v>0</v>
      </c>
      <c r="P150" s="305"/>
      <c r="Q150" s="309">
        <v>0.23599999999999999</v>
      </c>
      <c r="R150" s="308">
        <v>0</v>
      </c>
      <c r="U150" s="300"/>
      <c r="V150" s="296"/>
    </row>
    <row r="151" spans="1:22" x14ac:dyDescent="0.25">
      <c r="A151" s="296"/>
      <c r="B151" s="307"/>
      <c r="C151" s="301"/>
      <c r="D151" s="301" t="s">
        <v>244</v>
      </c>
      <c r="E151" s="302" t="s">
        <v>243</v>
      </c>
      <c r="F151" s="302"/>
      <c r="G151" s="302"/>
      <c r="H151" s="302"/>
      <c r="I151" s="302"/>
      <c r="J151" s="302"/>
      <c r="K151" s="302"/>
      <c r="L151" s="302"/>
      <c r="M151" s="556"/>
      <c r="N151" s="556"/>
      <c r="O151" s="306">
        <v>0</v>
      </c>
      <c r="P151" s="305"/>
      <c r="Q151" s="309">
        <v>0.12</v>
      </c>
      <c r="R151" s="308">
        <v>0</v>
      </c>
      <c r="U151" s="300"/>
      <c r="V151" s="296"/>
    </row>
    <row r="152" spans="1:22" x14ac:dyDescent="0.25">
      <c r="A152" s="296"/>
      <c r="B152" s="307"/>
      <c r="C152" s="301"/>
      <c r="D152" s="301" t="s">
        <v>242</v>
      </c>
      <c r="E152" s="302" t="s">
        <v>241</v>
      </c>
      <c r="F152" s="302"/>
      <c r="G152" s="302"/>
      <c r="H152" s="302"/>
      <c r="I152" s="302"/>
      <c r="J152" s="302"/>
      <c r="K152" s="302"/>
      <c r="L152" s="302"/>
      <c r="M152" s="556"/>
      <c r="N152" s="556"/>
      <c r="O152" s="306">
        <f>O145</f>
        <v>1937.5</v>
      </c>
      <c r="P152" s="305"/>
      <c r="Q152" s="304" t="s">
        <v>14</v>
      </c>
      <c r="R152" s="303">
        <f>SUM(R145:R151)</f>
        <v>192.40208333333334</v>
      </c>
      <c r="S152" s="302"/>
      <c r="T152" s="301"/>
      <c r="U152" s="300"/>
      <c r="V152" s="296"/>
    </row>
    <row r="153" spans="1:22" x14ac:dyDescent="0.25">
      <c r="A153" s="296"/>
      <c r="B153" s="299"/>
      <c r="C153" s="298"/>
      <c r="D153" s="298"/>
      <c r="E153" s="298"/>
      <c r="F153" s="298"/>
      <c r="G153" s="298"/>
      <c r="H153" s="298"/>
      <c r="I153" s="298"/>
      <c r="J153" s="298"/>
      <c r="K153" s="298"/>
      <c r="L153" s="298"/>
      <c r="M153" s="298"/>
      <c r="N153" s="298"/>
      <c r="O153" s="298"/>
      <c r="P153" s="298"/>
      <c r="Q153" s="298"/>
      <c r="R153" s="298"/>
      <c r="S153" s="298"/>
      <c r="T153" s="298"/>
      <c r="U153" s="297"/>
      <c r="V153" s="296"/>
    </row>
    <row r="154" spans="1:22" x14ac:dyDescent="0.25">
      <c r="A154" s="296"/>
      <c r="B154" s="296"/>
      <c r="C154" s="296"/>
      <c r="D154" s="296"/>
      <c r="E154" s="296"/>
      <c r="F154" s="296"/>
      <c r="G154" s="296"/>
      <c r="H154" s="296"/>
      <c r="I154" s="296"/>
      <c r="J154" s="296"/>
      <c r="K154" s="296"/>
      <c r="L154" s="296"/>
      <c r="M154" s="296"/>
      <c r="N154" s="296"/>
      <c r="O154" s="296"/>
      <c r="P154" s="296"/>
      <c r="Q154" s="296"/>
      <c r="R154" s="296"/>
      <c r="S154" s="296"/>
      <c r="T154" s="296"/>
      <c r="U154" s="296"/>
      <c r="V154" s="296"/>
    </row>
    <row r="157" spans="1:22" x14ac:dyDescent="0.25">
      <c r="A157" s="296"/>
      <c r="B157" s="296"/>
      <c r="C157" s="296"/>
      <c r="D157" s="296"/>
      <c r="E157" s="296"/>
      <c r="F157" s="296"/>
      <c r="G157" s="296"/>
      <c r="H157" s="296"/>
      <c r="I157" s="296"/>
      <c r="J157" s="296"/>
      <c r="K157" s="296"/>
      <c r="L157" s="296"/>
      <c r="M157" s="296"/>
      <c r="N157" s="296"/>
      <c r="O157" s="296"/>
      <c r="P157" s="296"/>
      <c r="Q157" s="296"/>
      <c r="R157" s="296"/>
      <c r="S157" s="296"/>
      <c r="T157" s="296"/>
      <c r="U157" s="296"/>
      <c r="V157" s="296"/>
    </row>
    <row r="158" spans="1:22" x14ac:dyDescent="0.25">
      <c r="A158" s="296"/>
      <c r="B158" s="538" t="s">
        <v>330</v>
      </c>
      <c r="C158" s="539"/>
      <c r="D158" s="539"/>
      <c r="E158" s="539"/>
      <c r="F158" s="535" t="s">
        <v>329</v>
      </c>
      <c r="G158" s="535"/>
      <c r="H158" s="535"/>
      <c r="I158" s="535"/>
      <c r="J158" s="535"/>
      <c r="K158" s="535"/>
      <c r="L158" s="535"/>
      <c r="M158" s="318"/>
      <c r="N158" s="296"/>
      <c r="O158" s="331" t="s">
        <v>328</v>
      </c>
      <c r="P158" s="540" t="s">
        <v>457</v>
      </c>
      <c r="Q158" s="540"/>
      <c r="R158" s="540"/>
      <c r="S158" s="540"/>
      <c r="T158" s="540"/>
      <c r="U158" s="318"/>
      <c r="V158" s="296"/>
    </row>
    <row r="159" spans="1:22" x14ac:dyDescent="0.25">
      <c r="A159" s="296"/>
      <c r="B159" s="541" t="s">
        <v>326</v>
      </c>
      <c r="C159" s="537"/>
      <c r="D159" s="537"/>
      <c r="E159" s="537"/>
      <c r="F159" s="535" t="s">
        <v>325</v>
      </c>
      <c r="G159" s="535"/>
      <c r="H159" s="535"/>
      <c r="I159" s="535"/>
      <c r="J159" s="535"/>
      <c r="K159" s="535"/>
      <c r="L159" s="535"/>
      <c r="M159" s="300"/>
      <c r="N159" s="296"/>
      <c r="O159" s="307" t="s">
        <v>324</v>
      </c>
      <c r="P159" s="542" t="s">
        <v>332</v>
      </c>
      <c r="Q159" s="542"/>
      <c r="R159" s="542"/>
      <c r="S159" s="542"/>
      <c r="T159" s="542"/>
      <c r="U159" s="300"/>
      <c r="V159" s="296"/>
    </row>
    <row r="160" spans="1:22" x14ac:dyDescent="0.25">
      <c r="A160" s="296"/>
      <c r="B160" s="541" t="s">
        <v>322</v>
      </c>
      <c r="C160" s="537"/>
      <c r="D160" s="537"/>
      <c r="E160" s="537"/>
      <c r="F160" s="535" t="s">
        <v>321</v>
      </c>
      <c r="G160" s="535"/>
      <c r="H160" s="535"/>
      <c r="I160" s="535"/>
      <c r="J160" s="535"/>
      <c r="K160" s="535"/>
      <c r="L160" s="535"/>
      <c r="M160" s="300"/>
      <c r="N160" s="296"/>
      <c r="O160" s="307" t="s">
        <v>320</v>
      </c>
      <c r="P160" s="543" t="s">
        <v>331</v>
      </c>
      <c r="Q160" s="542"/>
      <c r="R160" s="542"/>
      <c r="S160" s="542"/>
      <c r="T160" s="542"/>
      <c r="U160" s="300"/>
      <c r="V160" s="296"/>
    </row>
    <row r="161" spans="1:22" x14ac:dyDescent="0.25">
      <c r="A161" s="296"/>
      <c r="B161" s="541" t="s">
        <v>318</v>
      </c>
      <c r="C161" s="537"/>
      <c r="D161" s="537"/>
      <c r="E161" s="537"/>
      <c r="F161" s="535" t="s">
        <v>317</v>
      </c>
      <c r="G161" s="535"/>
      <c r="H161" s="535"/>
      <c r="I161" s="535"/>
      <c r="J161" s="535"/>
      <c r="K161" s="535"/>
      <c r="L161" s="535"/>
      <c r="M161" s="300"/>
      <c r="N161" s="296"/>
      <c r="O161" s="307" t="s">
        <v>316</v>
      </c>
      <c r="P161" s="337"/>
      <c r="Q161" s="336" t="s">
        <v>462</v>
      </c>
      <c r="R161" s="336"/>
      <c r="S161" s="336"/>
      <c r="T161" s="336"/>
      <c r="U161" s="300"/>
      <c r="V161" s="296"/>
    </row>
    <row r="162" spans="1:22" x14ac:dyDescent="0.25">
      <c r="A162" s="296"/>
      <c r="B162" s="541" t="s">
        <v>315</v>
      </c>
      <c r="C162" s="537"/>
      <c r="D162" s="537"/>
      <c r="E162" s="537"/>
      <c r="F162" s="542" t="s">
        <v>314</v>
      </c>
      <c r="G162" s="542"/>
      <c r="H162" s="542"/>
      <c r="I162" s="542"/>
      <c r="J162" s="542"/>
      <c r="K162" s="542"/>
      <c r="L162" s="542"/>
      <c r="M162" s="300"/>
      <c r="N162" s="296"/>
      <c r="O162" s="307" t="s">
        <v>313</v>
      </c>
      <c r="P162" s="544" t="s">
        <v>461</v>
      </c>
      <c r="Q162" s="542"/>
      <c r="R162" s="542"/>
      <c r="S162" s="542"/>
      <c r="T162" s="542"/>
      <c r="U162" s="300"/>
      <c r="V162" s="296"/>
    </row>
    <row r="163" spans="1:22" x14ac:dyDescent="0.25">
      <c r="A163" s="296"/>
      <c r="B163" s="545"/>
      <c r="C163" s="546"/>
      <c r="D163" s="546"/>
      <c r="E163" s="546"/>
      <c r="F163" s="335"/>
      <c r="G163" s="335"/>
      <c r="H163" s="335"/>
      <c r="I163" s="335"/>
      <c r="J163" s="335"/>
      <c r="K163" s="335"/>
      <c r="L163" s="335"/>
      <c r="M163" s="297"/>
      <c r="N163" s="296"/>
      <c r="O163" s="299"/>
      <c r="P163" s="335"/>
      <c r="Q163" s="335"/>
      <c r="R163" s="335"/>
      <c r="S163" s="335"/>
      <c r="T163" s="335"/>
      <c r="U163" s="297"/>
      <c r="V163" s="296"/>
    </row>
    <row r="164" spans="1:22" x14ac:dyDescent="0.25">
      <c r="A164" s="296"/>
      <c r="B164" s="296"/>
      <c r="C164" s="296"/>
      <c r="D164" s="296"/>
      <c r="E164" s="296"/>
      <c r="F164" s="296"/>
      <c r="G164" s="296"/>
      <c r="H164" s="296"/>
      <c r="I164" s="296"/>
      <c r="J164" s="296"/>
      <c r="K164" s="296"/>
      <c r="L164" s="296"/>
      <c r="M164" s="296"/>
      <c r="N164" s="296"/>
      <c r="O164" s="296"/>
      <c r="P164" s="296"/>
      <c r="Q164" s="296"/>
      <c r="R164" s="296"/>
      <c r="S164" s="296"/>
      <c r="T164" s="296"/>
      <c r="U164" s="296"/>
      <c r="V164" s="296"/>
    </row>
    <row r="165" spans="1:22" x14ac:dyDescent="0.25">
      <c r="A165" s="296"/>
      <c r="B165" s="547" t="s">
        <v>312</v>
      </c>
      <c r="C165" s="548"/>
      <c r="D165" s="548"/>
      <c r="E165" s="548"/>
      <c r="F165" s="548"/>
      <c r="G165" s="328" t="s">
        <v>311</v>
      </c>
      <c r="H165" s="332">
        <v>2</v>
      </c>
      <c r="I165" s="328" t="s">
        <v>266</v>
      </c>
      <c r="J165" s="333" t="s">
        <v>0</v>
      </c>
      <c r="K165" s="334" t="s">
        <v>310</v>
      </c>
      <c r="L165" s="332">
        <v>31</v>
      </c>
      <c r="M165" s="328"/>
      <c r="N165" s="328" t="s">
        <v>266</v>
      </c>
      <c r="O165" s="333" t="s">
        <v>0</v>
      </c>
      <c r="P165" s="328" t="s">
        <v>266</v>
      </c>
      <c r="Q165" s="332">
        <v>2022</v>
      </c>
      <c r="R165" s="328" t="s">
        <v>309</v>
      </c>
      <c r="S165" s="328"/>
      <c r="T165" s="332">
        <v>30</v>
      </c>
      <c r="U165" s="318"/>
      <c r="V165" s="296"/>
    </row>
    <row r="166" spans="1:22" x14ac:dyDescent="0.25">
      <c r="A166" s="296"/>
      <c r="B166" s="299"/>
      <c r="C166" s="298"/>
      <c r="D166" s="298"/>
      <c r="E166" s="298"/>
      <c r="F166" s="298"/>
      <c r="G166" s="298"/>
      <c r="H166" s="298"/>
      <c r="I166" s="298"/>
      <c r="J166" s="298"/>
      <c r="K166" s="298"/>
      <c r="L166" s="298"/>
      <c r="M166" s="298"/>
      <c r="N166" s="298"/>
      <c r="O166" s="298"/>
      <c r="P166" s="298"/>
      <c r="Q166" s="298"/>
      <c r="R166" s="298"/>
      <c r="S166" s="298"/>
      <c r="T166" s="298"/>
      <c r="U166" s="297"/>
      <c r="V166" s="296"/>
    </row>
    <row r="167" spans="1:22" x14ac:dyDescent="0.25">
      <c r="A167" s="296"/>
      <c r="B167" s="296"/>
      <c r="C167" s="296"/>
      <c r="D167" s="296"/>
      <c r="E167" s="296"/>
      <c r="F167" s="296"/>
      <c r="G167" s="296"/>
      <c r="H167" s="296"/>
      <c r="I167" s="296"/>
      <c r="J167" s="296"/>
      <c r="K167" s="296"/>
      <c r="L167" s="296"/>
      <c r="M167" s="296"/>
      <c r="N167" s="296"/>
      <c r="O167" s="296"/>
      <c r="P167" s="296"/>
      <c r="Q167" s="296"/>
      <c r="R167" s="296"/>
      <c r="S167" s="296"/>
      <c r="T167" s="296"/>
      <c r="U167" s="296"/>
      <c r="V167" s="296"/>
    </row>
    <row r="168" spans="1:22" x14ac:dyDescent="0.25">
      <c r="A168" s="296"/>
      <c r="B168" s="331"/>
      <c r="C168" s="330" t="s">
        <v>308</v>
      </c>
      <c r="D168" s="330" t="s">
        <v>307</v>
      </c>
      <c r="E168" s="330"/>
      <c r="F168" s="330"/>
      <c r="G168" s="328"/>
      <c r="H168" s="328"/>
      <c r="I168" s="328"/>
      <c r="J168" s="328"/>
      <c r="K168" s="328"/>
      <c r="L168" s="328"/>
      <c r="M168" s="328"/>
      <c r="N168" s="328"/>
      <c r="O168" s="328"/>
      <c r="P168" s="329" t="s">
        <v>126</v>
      </c>
      <c r="Q168" s="328"/>
      <c r="R168" s="328"/>
      <c r="S168" s="328"/>
      <c r="T168" s="327" t="s">
        <v>306</v>
      </c>
      <c r="U168" s="318"/>
      <c r="V168" s="296"/>
    </row>
    <row r="169" spans="1:22" x14ac:dyDescent="0.25">
      <c r="A169" s="296"/>
      <c r="B169" s="307"/>
      <c r="C169" s="313" t="s">
        <v>305</v>
      </c>
      <c r="D169" s="313" t="s">
        <v>304</v>
      </c>
      <c r="E169" s="301"/>
      <c r="F169" s="301"/>
      <c r="G169" s="301"/>
      <c r="H169" s="301"/>
      <c r="I169" s="301"/>
      <c r="J169" s="301"/>
      <c r="K169" s="301"/>
      <c r="L169" s="301"/>
      <c r="M169" s="301"/>
      <c r="N169" s="301"/>
      <c r="O169" s="301"/>
      <c r="P169" s="301"/>
      <c r="Q169" s="301"/>
      <c r="R169" s="301"/>
      <c r="S169" s="301"/>
      <c r="T169" s="301"/>
      <c r="U169" s="300"/>
      <c r="V169" s="296"/>
    </row>
    <row r="170" spans="1:22" x14ac:dyDescent="0.25">
      <c r="A170" s="296"/>
      <c r="B170" s="307"/>
      <c r="C170" s="301"/>
      <c r="D170" s="537" t="s">
        <v>303</v>
      </c>
      <c r="E170" s="537"/>
      <c r="F170" s="537"/>
      <c r="G170" s="537"/>
      <c r="H170" s="537"/>
      <c r="I170" s="537"/>
      <c r="J170" s="537"/>
      <c r="K170" s="537"/>
      <c r="L170" s="537"/>
      <c r="M170" s="537"/>
      <c r="N170" s="537"/>
      <c r="O170" s="537"/>
      <c r="P170" s="549">
        <v>1450</v>
      </c>
      <c r="Q170" s="549"/>
      <c r="R170" s="549"/>
      <c r="S170" s="301"/>
      <c r="T170" s="301"/>
      <c r="U170" s="300"/>
      <c r="V170" s="296"/>
    </row>
    <row r="171" spans="1:22" x14ac:dyDescent="0.25">
      <c r="A171" s="296"/>
      <c r="B171" s="307"/>
      <c r="C171" s="301"/>
      <c r="D171" s="301" t="s">
        <v>302</v>
      </c>
      <c r="E171" s="301"/>
      <c r="F171" s="301"/>
      <c r="G171" s="301"/>
      <c r="H171" s="301"/>
      <c r="I171" s="301"/>
      <c r="J171" s="301"/>
      <c r="K171" s="301"/>
      <c r="L171" s="301"/>
      <c r="M171" s="301"/>
      <c r="N171" s="301"/>
      <c r="O171" s="301"/>
      <c r="P171" s="550"/>
      <c r="Q171" s="550"/>
      <c r="R171" s="550"/>
      <c r="S171" s="301"/>
      <c r="T171" s="301"/>
      <c r="U171" s="300"/>
      <c r="V171" s="296"/>
    </row>
    <row r="172" spans="1:22" x14ac:dyDescent="0.25">
      <c r="A172" s="296"/>
      <c r="B172" s="307"/>
      <c r="C172" s="301"/>
      <c r="D172" s="301"/>
      <c r="E172" s="551"/>
      <c r="F172" s="551"/>
      <c r="G172" s="551"/>
      <c r="H172" s="551"/>
      <c r="I172" s="551"/>
      <c r="J172" s="551"/>
      <c r="K172" s="551"/>
      <c r="L172" s="551"/>
      <c r="M172" s="551"/>
      <c r="N172" s="551"/>
      <c r="O172" s="301" t="s">
        <v>290</v>
      </c>
      <c r="P172" s="549"/>
      <c r="Q172" s="549"/>
      <c r="R172" s="549"/>
      <c r="S172" s="301"/>
      <c r="T172" s="301"/>
      <c r="U172" s="300"/>
      <c r="V172" s="296"/>
    </row>
    <row r="173" spans="1:22" x14ac:dyDescent="0.25">
      <c r="A173" s="296"/>
      <c r="B173" s="307"/>
      <c r="C173" s="301"/>
      <c r="D173" s="301"/>
      <c r="E173" s="535"/>
      <c r="F173" s="535"/>
      <c r="G173" s="535"/>
      <c r="H173" s="535"/>
      <c r="I173" s="535"/>
      <c r="J173" s="535"/>
      <c r="K173" s="535"/>
      <c r="L173" s="535"/>
      <c r="M173" s="535"/>
      <c r="N173" s="535"/>
      <c r="O173" s="301" t="s">
        <v>290</v>
      </c>
      <c r="P173" s="536"/>
      <c r="Q173" s="536"/>
      <c r="R173" s="536"/>
      <c r="S173" s="301"/>
      <c r="T173" s="301"/>
      <c r="U173" s="300"/>
      <c r="V173" s="296"/>
    </row>
    <row r="174" spans="1:22" x14ac:dyDescent="0.25">
      <c r="A174" s="296"/>
      <c r="B174" s="307"/>
      <c r="C174" s="301"/>
      <c r="D174" s="301"/>
      <c r="E174" s="535"/>
      <c r="F174" s="535"/>
      <c r="G174" s="535"/>
      <c r="H174" s="535"/>
      <c r="I174" s="535"/>
      <c r="J174" s="535"/>
      <c r="K174" s="535"/>
      <c r="L174" s="535"/>
      <c r="M174" s="535"/>
      <c r="N174" s="535"/>
      <c r="O174" s="301" t="s">
        <v>290</v>
      </c>
      <c r="P174" s="536"/>
      <c r="Q174" s="536"/>
      <c r="R174" s="536"/>
      <c r="S174" s="301"/>
      <c r="T174" s="301"/>
      <c r="U174" s="300"/>
      <c r="V174" s="296"/>
    </row>
    <row r="175" spans="1:22" x14ac:dyDescent="0.25">
      <c r="A175" s="296"/>
      <c r="B175" s="307"/>
      <c r="C175" s="301"/>
      <c r="D175" s="537" t="s">
        <v>301</v>
      </c>
      <c r="E175" s="537"/>
      <c r="F175" s="537"/>
      <c r="G175" s="537"/>
      <c r="H175" s="537"/>
      <c r="I175" s="537"/>
      <c r="J175" s="537"/>
      <c r="K175" s="537"/>
      <c r="L175" s="537"/>
      <c r="M175" s="537"/>
      <c r="N175" s="537"/>
      <c r="O175" s="537"/>
      <c r="P175" s="536"/>
      <c r="Q175" s="536"/>
      <c r="R175" s="536"/>
      <c r="S175" s="301"/>
      <c r="T175" s="301"/>
      <c r="U175" s="300"/>
      <c r="V175" s="296"/>
    </row>
    <row r="176" spans="1:22" x14ac:dyDescent="0.25">
      <c r="A176" s="296"/>
      <c r="B176" s="307"/>
      <c r="C176" s="301"/>
      <c r="D176" s="537" t="s">
        <v>300</v>
      </c>
      <c r="E176" s="537"/>
      <c r="F176" s="537"/>
      <c r="G176" s="537"/>
      <c r="H176" s="537"/>
      <c r="I176" s="537"/>
      <c r="J176" s="537"/>
      <c r="K176" s="537"/>
      <c r="L176" s="537"/>
      <c r="M176" s="537"/>
      <c r="N176" s="537"/>
      <c r="O176" s="537"/>
      <c r="P176" s="536"/>
      <c r="Q176" s="536"/>
      <c r="R176" s="536"/>
      <c r="S176" s="301"/>
      <c r="T176" s="301"/>
      <c r="U176" s="300"/>
      <c r="V176" s="296"/>
    </row>
    <row r="177" spans="1:22" x14ac:dyDescent="0.25">
      <c r="A177" s="296"/>
      <c r="B177" s="307"/>
      <c r="C177" s="301"/>
      <c r="D177" s="553" t="s">
        <v>299</v>
      </c>
      <c r="E177" s="553"/>
      <c r="F177" s="553"/>
      <c r="G177" s="553"/>
      <c r="H177" s="553"/>
      <c r="I177" s="553"/>
      <c r="J177" s="553"/>
      <c r="K177" s="553"/>
      <c r="L177" s="553"/>
      <c r="M177" s="553"/>
      <c r="N177" s="553"/>
      <c r="O177" s="553"/>
      <c r="P177" s="536"/>
      <c r="Q177" s="536"/>
      <c r="R177" s="536"/>
      <c r="S177" s="301"/>
      <c r="T177" s="301"/>
      <c r="U177" s="300"/>
      <c r="V177" s="296"/>
    </row>
    <row r="178" spans="1:22" x14ac:dyDescent="0.25">
      <c r="A178" s="296"/>
      <c r="B178" s="307"/>
      <c r="C178" s="301"/>
      <c r="D178" s="537" t="s">
        <v>298</v>
      </c>
      <c r="E178" s="537"/>
      <c r="F178" s="537"/>
      <c r="G178" s="537"/>
      <c r="H178" s="537"/>
      <c r="I178" s="537"/>
      <c r="J178" s="537"/>
      <c r="K178" s="537"/>
      <c r="L178" s="537"/>
      <c r="M178" s="537"/>
      <c r="N178" s="537"/>
      <c r="O178" s="537"/>
      <c r="P178" s="536">
        <v>45</v>
      </c>
      <c r="Q178" s="536"/>
      <c r="R178" s="536"/>
      <c r="S178" s="301"/>
      <c r="T178" s="301"/>
      <c r="U178" s="300"/>
      <c r="V178" s="296"/>
    </row>
    <row r="179" spans="1:22" x14ac:dyDescent="0.25">
      <c r="A179" s="296"/>
      <c r="B179" s="307"/>
      <c r="C179" s="301"/>
      <c r="D179" s="537" t="s">
        <v>297</v>
      </c>
      <c r="E179" s="537"/>
      <c r="F179" s="537"/>
      <c r="G179" s="537"/>
      <c r="H179" s="537"/>
      <c r="I179" s="537"/>
      <c r="J179" s="537"/>
      <c r="K179" s="537"/>
      <c r="L179" s="537"/>
      <c r="M179" s="537"/>
      <c r="N179" s="537"/>
      <c r="O179" s="537"/>
      <c r="P179" s="536"/>
      <c r="Q179" s="536"/>
      <c r="R179" s="536"/>
      <c r="S179" s="301"/>
      <c r="T179" s="301"/>
      <c r="U179" s="300"/>
      <c r="V179" s="296"/>
    </row>
    <row r="180" spans="1:22" x14ac:dyDescent="0.25">
      <c r="A180" s="296"/>
      <c r="B180" s="307"/>
      <c r="C180" s="301"/>
      <c r="D180" s="301"/>
      <c r="E180" s="301"/>
      <c r="F180" s="301"/>
      <c r="G180" s="301"/>
      <c r="H180" s="301"/>
      <c r="I180" s="301"/>
      <c r="J180" s="301"/>
      <c r="K180" s="301"/>
      <c r="L180" s="301"/>
      <c r="M180" s="301"/>
      <c r="N180" s="301"/>
      <c r="O180" s="301"/>
      <c r="P180" s="301"/>
      <c r="Q180" s="301"/>
      <c r="R180" s="301"/>
      <c r="S180" s="301"/>
      <c r="T180" s="301"/>
      <c r="U180" s="300"/>
      <c r="V180" s="296"/>
    </row>
    <row r="181" spans="1:22" x14ac:dyDescent="0.25">
      <c r="A181" s="296"/>
      <c r="B181" s="307"/>
      <c r="C181" s="313" t="s">
        <v>296</v>
      </c>
      <c r="D181" s="313" t="s">
        <v>295</v>
      </c>
      <c r="E181" s="301"/>
      <c r="F181" s="301"/>
      <c r="G181" s="301"/>
      <c r="H181" s="301"/>
      <c r="I181" s="301"/>
      <c r="J181" s="301"/>
      <c r="K181" s="301"/>
      <c r="L181" s="301"/>
      <c r="M181" s="301"/>
      <c r="N181" s="301"/>
      <c r="O181" s="301"/>
      <c r="P181" s="301"/>
      <c r="Q181" s="301"/>
      <c r="R181" s="301"/>
      <c r="S181" s="301"/>
      <c r="T181" s="301"/>
      <c r="U181" s="300"/>
      <c r="V181" s="296"/>
    </row>
    <row r="182" spans="1:22" x14ac:dyDescent="0.25">
      <c r="A182" s="296"/>
      <c r="B182" s="307"/>
      <c r="C182" s="301"/>
      <c r="D182" s="301" t="s">
        <v>294</v>
      </c>
      <c r="E182" s="301"/>
      <c r="F182" s="301"/>
      <c r="G182" s="301"/>
      <c r="H182" s="301"/>
      <c r="I182" s="301"/>
      <c r="J182" s="301"/>
      <c r="K182" s="301"/>
      <c r="L182" s="301"/>
      <c r="M182" s="301"/>
      <c r="N182" s="301"/>
      <c r="O182" s="301"/>
      <c r="P182" s="301"/>
      <c r="Q182" s="301"/>
      <c r="R182" s="301"/>
      <c r="S182" s="301"/>
      <c r="T182" s="301"/>
      <c r="U182" s="300"/>
      <c r="V182" s="296"/>
    </row>
    <row r="183" spans="1:22" x14ac:dyDescent="0.25">
      <c r="A183" s="296"/>
      <c r="B183" s="307"/>
      <c r="C183" s="301"/>
      <c r="D183" s="301"/>
      <c r="E183" s="551"/>
      <c r="F183" s="551"/>
      <c r="G183" s="551"/>
      <c r="H183" s="551"/>
      <c r="I183" s="551"/>
      <c r="J183" s="551"/>
      <c r="K183" s="551"/>
      <c r="L183" s="551"/>
      <c r="M183" s="551"/>
      <c r="N183" s="551"/>
      <c r="O183" s="301" t="s">
        <v>290</v>
      </c>
      <c r="P183" s="549"/>
      <c r="Q183" s="549"/>
      <c r="R183" s="549"/>
      <c r="S183" s="301"/>
      <c r="T183" s="301"/>
      <c r="U183" s="300"/>
      <c r="V183" s="296"/>
    </row>
    <row r="184" spans="1:22" x14ac:dyDescent="0.25">
      <c r="A184" s="296"/>
      <c r="B184" s="307"/>
      <c r="C184" s="301"/>
      <c r="D184" s="301"/>
      <c r="E184" s="535"/>
      <c r="F184" s="535"/>
      <c r="G184" s="535"/>
      <c r="H184" s="535"/>
      <c r="I184" s="535"/>
      <c r="J184" s="535"/>
      <c r="K184" s="535"/>
      <c r="L184" s="535"/>
      <c r="M184" s="535"/>
      <c r="N184" s="535"/>
      <c r="O184" s="301" t="s">
        <v>290</v>
      </c>
      <c r="P184" s="536"/>
      <c r="Q184" s="536"/>
      <c r="R184" s="536"/>
      <c r="S184" s="301"/>
      <c r="T184" s="301"/>
      <c r="U184" s="300"/>
      <c r="V184" s="296"/>
    </row>
    <row r="185" spans="1:22" x14ac:dyDescent="0.25">
      <c r="A185" s="296"/>
      <c r="B185" s="307"/>
      <c r="C185" s="301"/>
      <c r="D185" s="301"/>
      <c r="E185" s="535"/>
      <c r="F185" s="535"/>
      <c r="G185" s="535"/>
      <c r="H185" s="535"/>
      <c r="I185" s="535"/>
      <c r="J185" s="535"/>
      <c r="K185" s="535"/>
      <c r="L185" s="535"/>
      <c r="M185" s="535"/>
      <c r="N185" s="535"/>
      <c r="O185" s="301" t="s">
        <v>290</v>
      </c>
      <c r="P185" s="536"/>
      <c r="Q185" s="536"/>
      <c r="R185" s="536"/>
      <c r="S185" s="301"/>
      <c r="T185" s="301"/>
      <c r="U185" s="300"/>
      <c r="V185" s="296"/>
    </row>
    <row r="186" spans="1:22" x14ac:dyDescent="0.25">
      <c r="A186" s="296"/>
      <c r="B186" s="307"/>
      <c r="C186" s="301"/>
      <c r="D186" s="301" t="s">
        <v>293</v>
      </c>
      <c r="E186" s="301"/>
      <c r="F186" s="301"/>
      <c r="G186" s="301"/>
      <c r="H186" s="301"/>
      <c r="I186" s="301"/>
      <c r="J186" s="301"/>
      <c r="K186" s="301"/>
      <c r="L186" s="301"/>
      <c r="M186" s="301"/>
      <c r="N186" s="301"/>
      <c r="O186" s="301"/>
      <c r="P186" s="301"/>
      <c r="Q186" s="301"/>
      <c r="R186" s="301"/>
      <c r="S186" s="301"/>
      <c r="T186" s="301"/>
      <c r="U186" s="300"/>
      <c r="V186" s="296"/>
    </row>
    <row r="187" spans="1:22" x14ac:dyDescent="0.25">
      <c r="A187" s="296"/>
      <c r="B187" s="307"/>
      <c r="C187" s="301"/>
      <c r="D187" s="301"/>
      <c r="E187" s="551"/>
      <c r="F187" s="551"/>
      <c r="G187" s="551"/>
      <c r="H187" s="551"/>
      <c r="I187" s="551"/>
      <c r="J187" s="551"/>
      <c r="K187" s="551"/>
      <c r="L187" s="551"/>
      <c r="M187" s="551"/>
      <c r="N187" s="551"/>
      <c r="O187" s="301" t="s">
        <v>290</v>
      </c>
      <c r="P187" s="549"/>
      <c r="Q187" s="549"/>
      <c r="R187" s="549"/>
      <c r="S187" s="301"/>
      <c r="T187" s="301"/>
      <c r="U187" s="300"/>
      <c r="V187" s="296"/>
    </row>
    <row r="188" spans="1:22" x14ac:dyDescent="0.25">
      <c r="A188" s="296"/>
      <c r="B188" s="307"/>
      <c r="C188" s="301"/>
      <c r="D188" s="301" t="s">
        <v>292</v>
      </c>
      <c r="E188" s="301"/>
      <c r="F188" s="301"/>
      <c r="G188" s="301"/>
      <c r="H188" s="301"/>
      <c r="I188" s="301"/>
      <c r="J188" s="301"/>
      <c r="K188" s="301"/>
      <c r="L188" s="301"/>
      <c r="M188" s="301"/>
      <c r="N188" s="301"/>
      <c r="O188" s="301"/>
      <c r="P188" s="314"/>
      <c r="Q188" s="314"/>
      <c r="R188" s="314"/>
      <c r="S188" s="301"/>
      <c r="T188" s="301"/>
      <c r="U188" s="300"/>
      <c r="V188" s="296"/>
    </row>
    <row r="189" spans="1:22" x14ac:dyDescent="0.25">
      <c r="A189" s="296"/>
      <c r="B189" s="307"/>
      <c r="C189" s="301"/>
      <c r="D189" s="301"/>
      <c r="E189" s="551"/>
      <c r="F189" s="551"/>
      <c r="G189" s="551"/>
      <c r="H189" s="551"/>
      <c r="I189" s="551"/>
      <c r="J189" s="551"/>
      <c r="K189" s="551"/>
      <c r="L189" s="551"/>
      <c r="M189" s="551"/>
      <c r="N189" s="551"/>
      <c r="O189" s="301" t="s">
        <v>290</v>
      </c>
      <c r="P189" s="549"/>
      <c r="Q189" s="549"/>
      <c r="R189" s="549"/>
      <c r="S189" s="301"/>
      <c r="T189" s="301"/>
      <c r="U189" s="300"/>
      <c r="V189" s="296"/>
    </row>
    <row r="190" spans="1:22" x14ac:dyDescent="0.25">
      <c r="A190" s="296"/>
      <c r="B190" s="307"/>
      <c r="C190" s="301"/>
      <c r="D190" s="301" t="s">
        <v>291</v>
      </c>
      <c r="E190" s="301"/>
      <c r="F190" s="301"/>
      <c r="G190" s="301"/>
      <c r="H190" s="301"/>
      <c r="I190" s="301"/>
      <c r="J190" s="301"/>
      <c r="K190" s="301"/>
      <c r="L190" s="301"/>
      <c r="M190" s="301"/>
      <c r="N190" s="301"/>
      <c r="O190" s="301"/>
      <c r="P190" s="314"/>
      <c r="Q190" s="314"/>
      <c r="R190" s="314"/>
      <c r="S190" s="301"/>
      <c r="T190" s="301"/>
      <c r="U190" s="300"/>
      <c r="V190" s="296"/>
    </row>
    <row r="191" spans="1:22" x14ac:dyDescent="0.25">
      <c r="A191" s="296"/>
      <c r="B191" s="307"/>
      <c r="C191" s="301"/>
      <c r="D191" s="301"/>
      <c r="E191" s="551"/>
      <c r="F191" s="551"/>
      <c r="G191" s="551"/>
      <c r="H191" s="551"/>
      <c r="I191" s="551"/>
      <c r="J191" s="551"/>
      <c r="K191" s="551"/>
      <c r="L191" s="551"/>
      <c r="M191" s="551"/>
      <c r="N191" s="551"/>
      <c r="O191" s="301" t="s">
        <v>290</v>
      </c>
      <c r="P191" s="549"/>
      <c r="Q191" s="549"/>
      <c r="R191" s="549"/>
      <c r="S191" s="301"/>
      <c r="T191" s="301"/>
      <c r="U191" s="300"/>
      <c r="V191" s="296"/>
    </row>
    <row r="192" spans="1:22" x14ac:dyDescent="0.25">
      <c r="A192" s="296"/>
      <c r="B192" s="307"/>
      <c r="C192" s="301"/>
      <c r="D192" s="301"/>
      <c r="E192" s="301"/>
      <c r="F192" s="301"/>
      <c r="G192" s="301"/>
      <c r="H192" s="301"/>
      <c r="I192" s="301"/>
      <c r="J192" s="301"/>
      <c r="K192" s="301"/>
      <c r="L192" s="301"/>
      <c r="M192" s="301"/>
      <c r="N192" s="301"/>
      <c r="O192" s="301"/>
      <c r="P192" s="301"/>
      <c r="Q192" s="301"/>
      <c r="R192" s="301"/>
      <c r="S192" s="301"/>
      <c r="T192" s="301"/>
      <c r="U192" s="300"/>
      <c r="V192" s="296"/>
    </row>
    <row r="193" spans="1:22" x14ac:dyDescent="0.25">
      <c r="A193" s="296"/>
      <c r="B193" s="307"/>
      <c r="C193" s="301"/>
      <c r="D193" s="301"/>
      <c r="E193" s="301"/>
      <c r="F193" s="301"/>
      <c r="G193" s="301"/>
      <c r="H193" s="301"/>
      <c r="I193" s="301"/>
      <c r="J193" s="554" t="s">
        <v>289</v>
      </c>
      <c r="K193" s="554"/>
      <c r="L193" s="554"/>
      <c r="M193" s="554"/>
      <c r="N193" s="554"/>
      <c r="O193" s="554"/>
      <c r="P193" s="554"/>
      <c r="Q193" s="554"/>
      <c r="R193" s="554"/>
      <c r="T193" s="326">
        <f>P170+P178</f>
        <v>1495</v>
      </c>
      <c r="U193" s="300"/>
      <c r="V193" s="296"/>
    </row>
    <row r="194" spans="1:22" x14ac:dyDescent="0.25">
      <c r="A194" s="296"/>
      <c r="B194" s="307"/>
      <c r="C194" s="301"/>
      <c r="D194" s="301"/>
      <c r="E194" s="301"/>
      <c r="F194" s="301"/>
      <c r="G194" s="301"/>
      <c r="H194" s="301"/>
      <c r="I194" s="301"/>
      <c r="J194" s="301"/>
      <c r="K194" s="301"/>
      <c r="L194" s="301"/>
      <c r="M194" s="301"/>
      <c r="N194" s="301"/>
      <c r="O194" s="301"/>
      <c r="P194" s="301"/>
      <c r="Q194" s="301"/>
      <c r="R194" s="301"/>
      <c r="S194" s="301"/>
      <c r="T194" s="301"/>
      <c r="U194" s="300"/>
      <c r="V194" s="296"/>
    </row>
    <row r="195" spans="1:22" x14ac:dyDescent="0.25">
      <c r="A195" s="296"/>
      <c r="B195" s="307"/>
      <c r="C195" s="325" t="s">
        <v>288</v>
      </c>
      <c r="D195" s="325" t="s">
        <v>287</v>
      </c>
      <c r="E195" s="325"/>
      <c r="F195" s="325"/>
      <c r="G195" s="301"/>
      <c r="H195" s="301"/>
      <c r="I195" s="301"/>
      <c r="J195" s="301"/>
      <c r="K195" s="301"/>
      <c r="L195" s="301"/>
      <c r="M195" s="301"/>
      <c r="N195" s="301"/>
      <c r="O195" s="301"/>
      <c r="P195" s="301"/>
      <c r="Q195" s="301"/>
      <c r="R195" s="301"/>
      <c r="S195" s="301"/>
      <c r="T195" s="301"/>
      <c r="U195" s="300"/>
      <c r="V195" s="296"/>
    </row>
    <row r="196" spans="1:22" x14ac:dyDescent="0.25">
      <c r="A196" s="296"/>
      <c r="B196" s="307"/>
      <c r="C196" s="301"/>
      <c r="D196" s="301" t="s">
        <v>262</v>
      </c>
      <c r="E196" s="324" t="s">
        <v>286</v>
      </c>
      <c r="F196" s="324"/>
      <c r="G196" s="302"/>
      <c r="H196" s="302"/>
      <c r="I196" s="302"/>
      <c r="J196" s="302"/>
      <c r="K196" s="301"/>
      <c r="L196" s="301"/>
      <c r="M196" s="301"/>
      <c r="N196" s="301"/>
      <c r="O196" s="301"/>
      <c r="P196" s="301"/>
      <c r="Q196" s="301"/>
      <c r="R196" s="301"/>
      <c r="S196" s="301"/>
      <c r="T196" s="301"/>
      <c r="U196" s="300"/>
      <c r="V196" s="296"/>
    </row>
    <row r="197" spans="1:22" x14ac:dyDescent="0.25">
      <c r="A197" s="296"/>
      <c r="B197" s="307"/>
      <c r="C197" s="301"/>
      <c r="D197" s="301"/>
      <c r="E197" s="552" t="s">
        <v>285</v>
      </c>
      <c r="F197" s="552"/>
      <c r="G197" s="552"/>
      <c r="H197" s="552"/>
      <c r="I197" s="552"/>
      <c r="J197" s="552"/>
      <c r="K197" s="308">
        <v>4.7</v>
      </c>
      <c r="L197" s="301" t="s">
        <v>278</v>
      </c>
      <c r="M197" s="301"/>
      <c r="N197" s="549">
        <f>T193*0.047</f>
        <v>70.265000000000001</v>
      </c>
      <c r="O197" s="549"/>
      <c r="P197" s="301"/>
      <c r="Q197" s="301"/>
      <c r="R197" s="301"/>
      <c r="S197" s="301"/>
      <c r="T197" s="301"/>
      <c r="U197" s="300"/>
      <c r="V197" s="296"/>
    </row>
    <row r="198" spans="1:22" x14ac:dyDescent="0.25">
      <c r="A198" s="296"/>
      <c r="B198" s="307"/>
      <c r="C198" s="301"/>
      <c r="D198" s="301"/>
      <c r="E198" s="552" t="s">
        <v>284</v>
      </c>
      <c r="F198" s="552"/>
      <c r="G198" s="552"/>
      <c r="H198" s="552"/>
      <c r="I198" s="552"/>
      <c r="J198" s="552"/>
      <c r="K198" s="308">
        <v>1.55</v>
      </c>
      <c r="L198" s="301" t="s">
        <v>278</v>
      </c>
      <c r="M198" s="301"/>
      <c r="N198" s="536">
        <f>T193*0.0155</f>
        <v>23.172499999999999</v>
      </c>
      <c r="O198" s="536"/>
      <c r="P198" s="301"/>
      <c r="Q198" s="301"/>
      <c r="R198" s="301"/>
      <c r="S198" s="301"/>
      <c r="T198" s="301"/>
      <c r="U198" s="300"/>
      <c r="V198" s="296"/>
    </row>
    <row r="199" spans="1:22" x14ac:dyDescent="0.25">
      <c r="A199" s="296"/>
      <c r="B199" s="307"/>
      <c r="C199" s="301"/>
      <c r="D199" s="301"/>
      <c r="E199" s="552" t="s">
        <v>283</v>
      </c>
      <c r="F199" s="552"/>
      <c r="G199" s="552"/>
      <c r="H199" s="552"/>
      <c r="I199" s="552"/>
      <c r="J199" s="552"/>
      <c r="K199" s="308">
        <v>0.1</v>
      </c>
      <c r="L199" s="301" t="s">
        <v>278</v>
      </c>
      <c r="M199" s="301"/>
      <c r="N199" s="536">
        <f>T193*0.001</f>
        <v>1.4950000000000001</v>
      </c>
      <c r="O199" s="536"/>
      <c r="P199" s="301"/>
      <c r="Q199" s="301"/>
      <c r="R199" s="301"/>
      <c r="S199" s="301"/>
      <c r="T199" s="301"/>
      <c r="U199" s="300"/>
      <c r="V199" s="296"/>
    </row>
    <row r="200" spans="1:22" x14ac:dyDescent="0.25">
      <c r="A200" s="296"/>
      <c r="B200" s="307"/>
      <c r="C200" s="301"/>
      <c r="D200" s="301"/>
      <c r="E200" s="552" t="s">
        <v>282</v>
      </c>
      <c r="F200" s="552"/>
      <c r="G200" s="552"/>
      <c r="H200" s="552"/>
      <c r="I200" s="552"/>
      <c r="J200" s="552"/>
      <c r="K200" s="308">
        <v>2</v>
      </c>
      <c r="L200" s="301" t="s">
        <v>278</v>
      </c>
      <c r="M200" s="301"/>
      <c r="N200" s="536">
        <v>0</v>
      </c>
      <c r="O200" s="536"/>
      <c r="P200" s="301"/>
      <c r="Q200" s="301"/>
      <c r="R200" s="301"/>
      <c r="S200" s="301"/>
      <c r="T200" s="301"/>
      <c r="U200" s="300"/>
      <c r="V200" s="296"/>
    </row>
    <row r="201" spans="1:22" x14ac:dyDescent="0.25">
      <c r="A201" s="296"/>
      <c r="B201" s="307"/>
      <c r="C201" s="301"/>
      <c r="D201" s="301"/>
      <c r="E201" s="552" t="s">
        <v>281</v>
      </c>
      <c r="F201" s="552"/>
      <c r="G201" s="552"/>
      <c r="H201" s="552"/>
      <c r="I201" s="552"/>
      <c r="J201" s="552"/>
      <c r="K201" s="308">
        <v>4.7</v>
      </c>
      <c r="L201" s="301" t="s">
        <v>278</v>
      </c>
      <c r="M201" s="301"/>
      <c r="N201" s="536">
        <v>0</v>
      </c>
      <c r="O201" s="536"/>
      <c r="P201" s="301"/>
      <c r="Q201" s="301"/>
      <c r="R201" s="301"/>
      <c r="S201" s="301"/>
      <c r="T201" s="301"/>
      <c r="U201" s="300"/>
      <c r="V201" s="296"/>
    </row>
    <row r="202" spans="1:22" x14ac:dyDescent="0.25">
      <c r="A202" s="296"/>
      <c r="B202" s="307"/>
      <c r="C202" s="301"/>
      <c r="D202" s="301"/>
      <c r="E202" s="324"/>
      <c r="F202" s="552" t="s">
        <v>280</v>
      </c>
      <c r="G202" s="552"/>
      <c r="H202" s="552"/>
      <c r="I202" s="552"/>
      <c r="J202" s="552"/>
      <c r="K202" s="552"/>
      <c r="L202" s="552"/>
      <c r="M202" s="552"/>
      <c r="N202" s="552"/>
      <c r="O202" s="552"/>
      <c r="P202" s="549">
        <f>SUM(N197:O201)</f>
        <v>94.932500000000005</v>
      </c>
      <c r="Q202" s="549"/>
      <c r="R202" s="549"/>
      <c r="S202" s="301"/>
      <c r="T202" s="301"/>
      <c r="U202" s="300"/>
      <c r="V202" s="296"/>
    </row>
    <row r="203" spans="1:22" x14ac:dyDescent="0.25">
      <c r="A203" s="296"/>
      <c r="B203" s="307"/>
      <c r="C203" s="301"/>
      <c r="D203" s="301" t="s">
        <v>252</v>
      </c>
      <c r="E203" s="552" t="s">
        <v>279</v>
      </c>
      <c r="F203" s="552"/>
      <c r="G203" s="552"/>
      <c r="H203" s="552"/>
      <c r="I203" s="552"/>
      <c r="J203" s="552"/>
      <c r="K203" s="308">
        <v>10</v>
      </c>
      <c r="L203" s="301" t="s">
        <v>278</v>
      </c>
      <c r="M203" s="537" t="s">
        <v>277</v>
      </c>
      <c r="N203" s="537"/>
      <c r="O203" s="537"/>
      <c r="P203" s="536">
        <v>100</v>
      </c>
      <c r="Q203" s="536"/>
      <c r="R203" s="536"/>
      <c r="S203" s="301"/>
      <c r="T203" s="301"/>
      <c r="U203" s="300"/>
      <c r="V203" s="296"/>
    </row>
    <row r="204" spans="1:22" x14ac:dyDescent="0.25">
      <c r="A204" s="296"/>
      <c r="B204" s="307"/>
      <c r="C204" s="301"/>
      <c r="D204" s="301" t="s">
        <v>276</v>
      </c>
      <c r="E204" s="552" t="s">
        <v>275</v>
      </c>
      <c r="F204" s="552"/>
      <c r="G204" s="552"/>
      <c r="H204" s="552"/>
      <c r="I204" s="552"/>
      <c r="J204" s="552"/>
      <c r="K204" s="552"/>
      <c r="L204" s="552"/>
      <c r="M204" s="552"/>
      <c r="N204" s="552"/>
      <c r="O204" s="552"/>
      <c r="P204" s="536"/>
      <c r="Q204" s="536"/>
      <c r="R204" s="536"/>
      <c r="S204" s="301"/>
      <c r="T204" s="301"/>
      <c r="U204" s="300"/>
      <c r="V204" s="296"/>
    </row>
    <row r="205" spans="1:22" x14ac:dyDescent="0.25">
      <c r="A205" s="296"/>
      <c r="B205" s="307"/>
      <c r="C205" s="301"/>
      <c r="D205" s="301" t="s">
        <v>274</v>
      </c>
      <c r="E205" s="552" t="s">
        <v>273</v>
      </c>
      <c r="F205" s="552"/>
      <c r="G205" s="552"/>
      <c r="H205" s="552"/>
      <c r="I205" s="552"/>
      <c r="J205" s="552"/>
      <c r="K205" s="552"/>
      <c r="L205" s="552"/>
      <c r="M205" s="552"/>
      <c r="N205" s="552"/>
      <c r="O205" s="552"/>
      <c r="P205" s="536"/>
      <c r="Q205" s="536"/>
      <c r="R205" s="536"/>
      <c r="S205" s="301"/>
      <c r="T205" s="301"/>
      <c r="U205" s="300"/>
      <c r="V205" s="296"/>
    </row>
    <row r="206" spans="1:22" x14ac:dyDescent="0.25">
      <c r="A206" s="296"/>
      <c r="B206" s="307"/>
      <c r="C206" s="301"/>
      <c r="D206" s="301" t="s">
        <v>272</v>
      </c>
      <c r="E206" s="552" t="s">
        <v>271</v>
      </c>
      <c r="F206" s="552"/>
      <c r="G206" s="552"/>
      <c r="H206" s="552"/>
      <c r="I206" s="552"/>
      <c r="J206" s="552"/>
      <c r="K206" s="552"/>
      <c r="L206" s="552"/>
      <c r="M206" s="552"/>
      <c r="N206" s="552"/>
      <c r="O206" s="552"/>
      <c r="P206" s="536"/>
      <c r="Q206" s="536"/>
      <c r="R206" s="536"/>
      <c r="S206" s="301"/>
      <c r="T206" s="301"/>
      <c r="U206" s="300"/>
      <c r="V206" s="296"/>
    </row>
    <row r="207" spans="1:22" x14ac:dyDescent="0.25">
      <c r="A207" s="296"/>
      <c r="B207" s="307"/>
      <c r="C207" s="301"/>
      <c r="D207" s="301"/>
      <c r="E207" s="301"/>
      <c r="F207" s="301"/>
      <c r="G207" s="301"/>
      <c r="H207" s="301"/>
      <c r="I207" s="301"/>
      <c r="J207" s="554" t="s">
        <v>270</v>
      </c>
      <c r="K207" s="554"/>
      <c r="L207" s="554"/>
      <c r="M207" s="554"/>
      <c r="N207" s="554"/>
      <c r="O207" s="554"/>
      <c r="P207" s="554"/>
      <c r="Q207" s="554"/>
      <c r="R207" s="554"/>
      <c r="U207" s="300"/>
      <c r="V207" s="296"/>
    </row>
    <row r="208" spans="1:22" ht="15.75" thickBot="1" x14ac:dyDescent="0.3">
      <c r="A208" s="296"/>
      <c r="B208" s="307"/>
      <c r="C208" s="301"/>
      <c r="D208" s="301"/>
      <c r="E208" s="301"/>
      <c r="F208" s="301"/>
      <c r="G208" s="301"/>
      <c r="H208" s="301"/>
      <c r="I208" s="301"/>
      <c r="J208" s="301"/>
      <c r="K208" s="301"/>
      <c r="L208" s="301"/>
      <c r="M208" s="301"/>
      <c r="N208" s="301"/>
      <c r="O208" s="301"/>
      <c r="P208" s="301"/>
      <c r="Q208" s="301"/>
      <c r="R208" s="301"/>
      <c r="S208" s="555">
        <f>SUM(P202+P203)</f>
        <v>194.9325</v>
      </c>
      <c r="T208" s="555"/>
      <c r="U208" s="300"/>
      <c r="V208" s="296"/>
    </row>
    <row r="209" spans="1:22" ht="15.75" thickBot="1" x14ac:dyDescent="0.3">
      <c r="A209" s="296"/>
      <c r="B209" s="307"/>
      <c r="C209" s="301"/>
      <c r="D209" s="301"/>
      <c r="E209" s="321" t="s">
        <v>269</v>
      </c>
      <c r="F209" s="301"/>
      <c r="G209" s="301"/>
      <c r="H209" s="561" t="s">
        <v>268</v>
      </c>
      <c r="I209" s="561"/>
      <c r="J209" s="561"/>
      <c r="K209" s="561"/>
      <c r="L209" s="561"/>
      <c r="M209" s="561"/>
      <c r="N209" s="561"/>
      <c r="O209" s="561"/>
      <c r="P209" s="561"/>
      <c r="Q209" s="561"/>
      <c r="R209" s="562"/>
      <c r="S209" s="558">
        <f>T193-S208</f>
        <v>1300.0675000000001</v>
      </c>
      <c r="T209" s="559"/>
      <c r="U209" s="300"/>
      <c r="V209" s="296"/>
    </row>
    <row r="210" spans="1:22" x14ac:dyDescent="0.25">
      <c r="A210" s="296"/>
      <c r="B210" s="307"/>
      <c r="C210" s="301"/>
      <c r="D210" s="301"/>
      <c r="E210" s="321" t="s">
        <v>267</v>
      </c>
      <c r="F210" s="301"/>
      <c r="G210" s="301"/>
      <c r="H210" s="301"/>
      <c r="I210" s="301"/>
      <c r="J210" s="314"/>
      <c r="K210" s="301"/>
      <c r="L210" s="301"/>
      <c r="M210" s="301"/>
      <c r="N210" s="301"/>
      <c r="O210" s="301"/>
      <c r="P210" s="301"/>
      <c r="Q210" s="301"/>
      <c r="R210" s="301"/>
      <c r="S210" s="301"/>
      <c r="T210" s="301"/>
      <c r="U210" s="300"/>
      <c r="V210" s="296"/>
    </row>
    <row r="211" spans="1:22" x14ac:dyDescent="0.25">
      <c r="A211" s="296"/>
      <c r="B211" s="307"/>
      <c r="C211" s="301"/>
      <c r="D211" s="301"/>
      <c r="E211" s="301"/>
      <c r="F211" s="301"/>
      <c r="G211" s="301"/>
      <c r="H211" s="560">
        <v>1</v>
      </c>
      <c r="I211" s="560"/>
      <c r="J211" s="560"/>
      <c r="K211" s="323"/>
      <c r="L211" s="301" t="s">
        <v>266</v>
      </c>
      <c r="M211" s="301"/>
      <c r="N211" s="560" t="s">
        <v>0</v>
      </c>
      <c r="O211" s="560"/>
      <c r="P211" s="301" t="s">
        <v>265</v>
      </c>
      <c r="Q211" s="322">
        <v>2022</v>
      </c>
      <c r="R211" s="301"/>
      <c r="S211" s="301"/>
      <c r="T211" s="301"/>
      <c r="U211" s="300"/>
      <c r="V211" s="296"/>
    </row>
    <row r="212" spans="1:22" x14ac:dyDescent="0.25">
      <c r="A212" s="296"/>
      <c r="B212" s="307"/>
      <c r="C212" s="301"/>
      <c r="D212" s="301"/>
      <c r="E212" s="301"/>
      <c r="F212" s="301"/>
      <c r="G212" s="301"/>
      <c r="H212" s="301"/>
      <c r="I212" s="301"/>
      <c r="J212" s="301"/>
      <c r="K212" s="301"/>
      <c r="L212" s="301"/>
      <c r="M212" s="301"/>
      <c r="N212" s="301"/>
      <c r="O212" s="301"/>
      <c r="P212" s="301"/>
      <c r="Q212" s="301"/>
      <c r="R212" s="301"/>
      <c r="S212" s="301"/>
      <c r="T212" s="301"/>
      <c r="U212" s="300"/>
      <c r="V212" s="296"/>
    </row>
    <row r="213" spans="1:22" x14ac:dyDescent="0.25">
      <c r="A213" s="296"/>
      <c r="B213" s="307"/>
      <c r="C213" s="301"/>
      <c r="D213" s="301"/>
      <c r="E213" s="301"/>
      <c r="F213" s="301"/>
      <c r="G213" s="301"/>
      <c r="H213" s="301"/>
      <c r="I213" s="301"/>
      <c r="J213" s="301"/>
      <c r="K213" s="301"/>
      <c r="L213" s="301"/>
      <c r="M213" s="301"/>
      <c r="N213" s="301"/>
      <c r="O213" s="321" t="s">
        <v>264</v>
      </c>
      <c r="P213" s="301"/>
      <c r="Q213" s="301"/>
      <c r="R213" s="301"/>
      <c r="S213" s="301"/>
      <c r="T213" s="301"/>
      <c r="U213" s="300"/>
      <c r="V213" s="296"/>
    </row>
    <row r="214" spans="1:22" x14ac:dyDescent="0.25">
      <c r="A214" s="296"/>
      <c r="B214" s="307"/>
      <c r="C214" s="301"/>
      <c r="D214" s="301"/>
      <c r="E214" s="301"/>
      <c r="F214" s="301"/>
      <c r="G214" s="301"/>
      <c r="H214" s="301"/>
      <c r="I214" s="301"/>
      <c r="J214" s="301"/>
      <c r="K214" s="301"/>
      <c r="L214" s="301"/>
      <c r="M214" s="301"/>
      <c r="N214" s="301"/>
      <c r="O214" s="301"/>
      <c r="P214" s="301"/>
      <c r="Q214" s="301"/>
      <c r="R214" s="301"/>
      <c r="S214" s="301"/>
      <c r="T214" s="301"/>
      <c r="U214" s="300"/>
      <c r="V214" s="296"/>
    </row>
    <row r="215" spans="1:22" x14ac:dyDescent="0.25">
      <c r="A215" s="296"/>
      <c r="B215" s="299"/>
      <c r="C215" s="298"/>
      <c r="D215" s="298"/>
      <c r="E215" s="298"/>
      <c r="F215" s="298"/>
      <c r="G215" s="298"/>
      <c r="H215" s="298"/>
      <c r="I215" s="298"/>
      <c r="J215" s="298"/>
      <c r="K215" s="298"/>
      <c r="L215" s="298"/>
      <c r="M215" s="298"/>
      <c r="N215" s="298"/>
      <c r="O215" s="298"/>
      <c r="P215" s="298"/>
      <c r="Q215" s="298"/>
      <c r="R215" s="298"/>
      <c r="S215" s="298"/>
      <c r="T215" s="298"/>
      <c r="U215" s="297"/>
      <c r="V215" s="296"/>
    </row>
    <row r="216" spans="1:22" x14ac:dyDescent="0.25">
      <c r="A216" s="296"/>
      <c r="B216" s="296"/>
      <c r="C216" s="296"/>
      <c r="D216" s="296"/>
      <c r="E216" s="296"/>
      <c r="F216" s="296"/>
      <c r="G216" s="296"/>
      <c r="H216" s="296"/>
      <c r="I216" s="296"/>
      <c r="J216" s="296"/>
      <c r="K216" s="296"/>
      <c r="L216" s="296"/>
      <c r="M216" s="296"/>
      <c r="N216" s="296"/>
      <c r="O216" s="296"/>
      <c r="P216" s="296"/>
      <c r="Q216" s="296"/>
      <c r="R216" s="296"/>
      <c r="S216" s="296"/>
      <c r="T216" s="296"/>
      <c r="U216" s="296"/>
      <c r="V216" s="296"/>
    </row>
    <row r="217" spans="1:22" x14ac:dyDescent="0.25">
      <c r="A217" s="296"/>
      <c r="B217" s="296"/>
      <c r="C217" s="296"/>
      <c r="D217" s="296"/>
      <c r="E217" s="296"/>
      <c r="F217" s="296"/>
      <c r="G217" s="296"/>
      <c r="H217" s="296"/>
      <c r="I217" s="296"/>
      <c r="J217" s="296"/>
      <c r="K217" s="296"/>
      <c r="L217" s="296"/>
      <c r="M217" s="296"/>
      <c r="N217" s="296"/>
      <c r="O217" s="296"/>
      <c r="P217" s="296"/>
      <c r="Q217" s="296"/>
      <c r="R217" s="296"/>
      <c r="S217" s="296"/>
      <c r="T217" s="296"/>
      <c r="U217" s="296"/>
      <c r="V217" s="296"/>
    </row>
    <row r="218" spans="1:22" x14ac:dyDescent="0.25">
      <c r="A218" s="296"/>
      <c r="B218" s="320" t="s">
        <v>263</v>
      </c>
      <c r="D218" s="319"/>
      <c r="E218" s="319"/>
      <c r="F218" s="319"/>
      <c r="G218" s="319"/>
      <c r="H218" s="319"/>
      <c r="I218" s="319"/>
      <c r="J218" s="319"/>
      <c r="K218" s="319"/>
      <c r="L218" s="319"/>
      <c r="M218" s="319"/>
      <c r="N218" s="319"/>
      <c r="O218" s="319"/>
      <c r="P218" s="319"/>
      <c r="Q218" s="319"/>
      <c r="R218" s="319"/>
      <c r="S218" s="319"/>
      <c r="T218" s="319"/>
      <c r="U218" s="318"/>
      <c r="V218" s="296"/>
    </row>
    <row r="219" spans="1:22" x14ac:dyDescent="0.25">
      <c r="A219" s="296"/>
      <c r="B219" s="307"/>
      <c r="C219" s="301"/>
      <c r="D219" s="301"/>
      <c r="E219" s="301"/>
      <c r="F219" s="301"/>
      <c r="G219" s="301"/>
      <c r="H219" s="301"/>
      <c r="I219" s="301"/>
      <c r="J219" s="301"/>
      <c r="K219" s="301"/>
      <c r="L219" s="301"/>
      <c r="M219" s="301"/>
      <c r="N219" s="301"/>
      <c r="O219" s="301"/>
      <c r="P219" s="301"/>
      <c r="Q219" s="301"/>
      <c r="R219" s="301"/>
      <c r="S219" s="301"/>
      <c r="T219" s="301"/>
      <c r="U219" s="300"/>
      <c r="V219" s="296"/>
    </row>
    <row r="220" spans="1:22" x14ac:dyDescent="0.25">
      <c r="A220" s="296"/>
      <c r="B220" s="307"/>
      <c r="C220" s="301"/>
      <c r="D220" s="301" t="s">
        <v>262</v>
      </c>
      <c r="E220" s="553" t="s">
        <v>261</v>
      </c>
      <c r="F220" s="553"/>
      <c r="G220" s="553"/>
      <c r="H220" s="553"/>
      <c r="I220" s="553"/>
      <c r="J220" s="553"/>
      <c r="K220" s="553"/>
      <c r="L220" s="553"/>
      <c r="M220" s="302"/>
      <c r="N220" s="302"/>
      <c r="O220" s="317" t="s">
        <v>260</v>
      </c>
      <c r="P220" s="317"/>
      <c r="Q220" s="317" t="s">
        <v>259</v>
      </c>
      <c r="R220" s="316" t="s">
        <v>258</v>
      </c>
      <c r="U220" s="300"/>
      <c r="V220" s="296"/>
    </row>
    <row r="221" spans="1:22" x14ac:dyDescent="0.25">
      <c r="A221" s="296"/>
      <c r="B221" s="307"/>
      <c r="C221" s="301"/>
      <c r="D221" s="301"/>
      <c r="E221" s="315" t="s">
        <v>257</v>
      </c>
      <c r="F221" s="315"/>
      <c r="G221" s="315"/>
      <c r="H221" s="315"/>
      <c r="I221" s="315"/>
      <c r="J221" s="315"/>
      <c r="K221" s="315"/>
      <c r="L221" s="315"/>
      <c r="M221" s="556">
        <f>P170</f>
        <v>1450</v>
      </c>
      <c r="N221" s="556"/>
      <c r="O221" s="317"/>
      <c r="P221" s="317"/>
      <c r="Q221" s="317"/>
      <c r="R221" s="316" t="s">
        <v>256</v>
      </c>
      <c r="U221" s="300"/>
      <c r="V221" s="296"/>
    </row>
    <row r="222" spans="1:22" x14ac:dyDescent="0.25">
      <c r="A222" s="296"/>
      <c r="B222" s="307"/>
      <c r="C222" s="301"/>
      <c r="D222" s="301"/>
      <c r="E222" s="315" t="s">
        <v>255</v>
      </c>
      <c r="F222" s="315"/>
      <c r="G222" s="315"/>
      <c r="H222" s="315"/>
      <c r="I222" s="315"/>
      <c r="J222" s="315"/>
      <c r="K222" s="315"/>
      <c r="L222" s="315"/>
      <c r="M222" s="556">
        <f>($T$193*2)/12</f>
        <v>249.16666666666666</v>
      </c>
      <c r="N222" s="556"/>
      <c r="O222" s="301"/>
      <c r="P222" s="301"/>
      <c r="Q222" s="301"/>
      <c r="R222" s="301"/>
      <c r="U222" s="300"/>
      <c r="V222" s="296"/>
    </row>
    <row r="223" spans="1:22" x14ac:dyDescent="0.25">
      <c r="A223" s="296"/>
      <c r="B223" s="307"/>
      <c r="C223" s="301"/>
      <c r="D223" s="301"/>
      <c r="E223" s="302"/>
      <c r="F223" s="302"/>
      <c r="G223" s="302"/>
      <c r="H223" s="302"/>
      <c r="I223" s="302"/>
      <c r="J223" s="313" t="s">
        <v>254</v>
      </c>
      <c r="K223" s="313"/>
      <c r="L223" s="313"/>
      <c r="M223" s="556"/>
      <c r="N223" s="556"/>
      <c r="O223" s="306">
        <f>SUM(M221:N222)</f>
        <v>1699.1666666666667</v>
      </c>
      <c r="P223" s="305"/>
      <c r="Q223" s="309">
        <v>0.23599999999999999</v>
      </c>
      <c r="R223" s="308">
        <f>O223*0.0236</f>
        <v>40.100333333333332</v>
      </c>
      <c r="U223" s="300"/>
      <c r="V223" s="296"/>
    </row>
    <row r="224" spans="1:22" x14ac:dyDescent="0.25">
      <c r="A224" s="296"/>
      <c r="B224" s="307"/>
      <c r="C224" s="301"/>
      <c r="D224" s="301"/>
      <c r="E224" s="302"/>
      <c r="F224" s="302"/>
      <c r="G224" s="302"/>
      <c r="H224" s="302"/>
      <c r="I224" s="312" t="s">
        <v>253</v>
      </c>
      <c r="J224" s="313"/>
      <c r="K224" s="313"/>
      <c r="L224" s="313"/>
      <c r="M224" s="314"/>
      <c r="N224" s="313"/>
      <c r="O224" s="310"/>
      <c r="P224" s="310"/>
      <c r="Q224" s="309">
        <v>1.35E-2</v>
      </c>
      <c r="R224" s="308">
        <f>O223*0.0135</f>
        <v>22.938750000000002</v>
      </c>
      <c r="U224" s="300"/>
      <c r="V224" s="296"/>
    </row>
    <row r="225" spans="1:22" x14ac:dyDescent="0.25">
      <c r="A225" s="296"/>
      <c r="B225" s="307"/>
      <c r="C225" s="301"/>
      <c r="D225" s="301" t="s">
        <v>252</v>
      </c>
      <c r="E225" s="302" t="s">
        <v>251</v>
      </c>
      <c r="F225" s="302"/>
      <c r="G225" s="302"/>
      <c r="H225" s="302"/>
      <c r="I225" s="312" t="s">
        <v>250</v>
      </c>
      <c r="J225" s="302"/>
      <c r="K225" s="302"/>
      <c r="L225" s="302"/>
      <c r="M225" s="307"/>
      <c r="N225" s="302"/>
      <c r="O225" s="301"/>
      <c r="P225" s="301"/>
      <c r="Q225" s="309">
        <v>5.5E-2</v>
      </c>
      <c r="R225" s="308">
        <f>O223*0.055</f>
        <v>93.454166666666666</v>
      </c>
      <c r="U225" s="300"/>
      <c r="V225" s="296"/>
    </row>
    <row r="226" spans="1:22" x14ac:dyDescent="0.25">
      <c r="A226" s="296"/>
      <c r="B226" s="307"/>
      <c r="C226" s="301"/>
      <c r="D226" s="301"/>
      <c r="E226" s="302" t="s">
        <v>249</v>
      </c>
      <c r="F226" s="302"/>
      <c r="G226" s="302"/>
      <c r="H226" s="302"/>
      <c r="I226" s="312" t="s">
        <v>248</v>
      </c>
      <c r="J226" s="302"/>
      <c r="K226" s="302"/>
      <c r="L226" s="302"/>
      <c r="M226" s="557"/>
      <c r="N226" s="556"/>
      <c r="O226" s="306">
        <f>O223</f>
        <v>1699.1666666666667</v>
      </c>
      <c r="P226" s="305"/>
      <c r="Q226" s="309">
        <v>6.0000000000000001E-3</v>
      </c>
      <c r="R226" s="308">
        <f>O223*0.006</f>
        <v>10.195</v>
      </c>
      <c r="U226" s="300"/>
      <c r="V226" s="296"/>
    </row>
    <row r="227" spans="1:22" x14ac:dyDescent="0.25">
      <c r="A227" s="296"/>
      <c r="B227" s="307"/>
      <c r="C227" s="301"/>
      <c r="D227" s="301"/>
      <c r="E227" s="302"/>
      <c r="F227" s="302"/>
      <c r="G227" s="302"/>
      <c r="H227" s="302"/>
      <c r="I227" s="312" t="s">
        <v>247</v>
      </c>
      <c r="J227" s="302"/>
      <c r="K227" s="302"/>
      <c r="L227" s="302"/>
      <c r="M227" s="311"/>
      <c r="N227" s="302"/>
      <c r="O227" s="310"/>
      <c r="P227" s="310"/>
      <c r="Q227" s="309">
        <v>2E-3</v>
      </c>
      <c r="R227" s="308">
        <v>2.3333333333333335</v>
      </c>
      <c r="U227" s="300"/>
      <c r="V227" s="296"/>
    </row>
    <row r="228" spans="1:22" x14ac:dyDescent="0.25">
      <c r="A228" s="296"/>
      <c r="B228" s="307"/>
      <c r="C228" s="301"/>
      <c r="D228" s="301" t="s">
        <v>246</v>
      </c>
      <c r="E228" s="302" t="s">
        <v>245</v>
      </c>
      <c r="F228" s="302"/>
      <c r="G228" s="302"/>
      <c r="H228" s="302"/>
      <c r="I228" s="302"/>
      <c r="J228" s="302"/>
      <c r="K228" s="302"/>
      <c r="L228" s="302"/>
      <c r="M228" s="556"/>
      <c r="N228" s="556"/>
      <c r="O228" s="306">
        <f>O225</f>
        <v>0</v>
      </c>
      <c r="P228" s="305"/>
      <c r="Q228" s="309">
        <v>0.23599999999999999</v>
      </c>
      <c r="R228" s="308">
        <v>0</v>
      </c>
      <c r="U228" s="300"/>
      <c r="V228" s="296"/>
    </row>
    <row r="229" spans="1:22" x14ac:dyDescent="0.25">
      <c r="A229" s="296"/>
      <c r="B229" s="307"/>
      <c r="C229" s="301"/>
      <c r="D229" s="301" t="s">
        <v>244</v>
      </c>
      <c r="E229" s="302" t="s">
        <v>243</v>
      </c>
      <c r="F229" s="302"/>
      <c r="G229" s="302"/>
      <c r="H229" s="302"/>
      <c r="I229" s="302"/>
      <c r="J229" s="302"/>
      <c r="K229" s="302"/>
      <c r="L229" s="302"/>
      <c r="M229" s="556"/>
      <c r="N229" s="556"/>
      <c r="O229" s="306">
        <v>0</v>
      </c>
      <c r="P229" s="305"/>
      <c r="Q229" s="309">
        <v>0.12</v>
      </c>
      <c r="R229" s="308">
        <v>0</v>
      </c>
      <c r="U229" s="300"/>
      <c r="V229" s="296"/>
    </row>
    <row r="230" spans="1:22" x14ac:dyDescent="0.25">
      <c r="A230" s="296"/>
      <c r="B230" s="307"/>
      <c r="C230" s="301"/>
      <c r="D230" s="301" t="s">
        <v>242</v>
      </c>
      <c r="E230" s="302" t="s">
        <v>241</v>
      </c>
      <c r="F230" s="302"/>
      <c r="G230" s="302"/>
      <c r="H230" s="302"/>
      <c r="I230" s="302"/>
      <c r="J230" s="302"/>
      <c r="K230" s="302"/>
      <c r="L230" s="302"/>
      <c r="M230" s="556"/>
      <c r="N230" s="556"/>
      <c r="O230" s="306">
        <f>O223</f>
        <v>1699.1666666666667</v>
      </c>
      <c r="P230" s="305"/>
      <c r="Q230" s="304" t="s">
        <v>14</v>
      </c>
      <c r="R230" s="303">
        <f>SUM(R223:R229)</f>
        <v>169.02158333333333</v>
      </c>
      <c r="S230" s="302"/>
      <c r="T230" s="301"/>
      <c r="U230" s="300"/>
      <c r="V230" s="296"/>
    </row>
    <row r="231" spans="1:22" x14ac:dyDescent="0.25">
      <c r="A231" s="296"/>
      <c r="B231" s="299"/>
      <c r="C231" s="298"/>
      <c r="D231" s="298"/>
      <c r="E231" s="298"/>
      <c r="F231" s="298"/>
      <c r="G231" s="298"/>
      <c r="H231" s="298"/>
      <c r="I231" s="298"/>
      <c r="J231" s="298"/>
      <c r="K231" s="298"/>
      <c r="L231" s="298"/>
      <c r="M231" s="298"/>
      <c r="N231" s="298"/>
      <c r="O231" s="298"/>
      <c r="P231" s="298"/>
      <c r="Q231" s="298"/>
      <c r="R231" s="298"/>
      <c r="S231" s="298"/>
      <c r="T231" s="298"/>
      <c r="U231" s="297"/>
      <c r="V231" s="296"/>
    </row>
    <row r="232" spans="1:22" x14ac:dyDescent="0.25">
      <c r="A232" s="296"/>
      <c r="B232" s="296"/>
      <c r="C232" s="296"/>
      <c r="D232" s="296"/>
      <c r="E232" s="296"/>
      <c r="F232" s="296"/>
      <c r="G232" s="296"/>
      <c r="H232" s="296"/>
      <c r="I232" s="296"/>
      <c r="J232" s="296"/>
      <c r="K232" s="296"/>
      <c r="L232" s="296"/>
      <c r="M232" s="296"/>
      <c r="N232" s="296"/>
      <c r="O232" s="296"/>
      <c r="P232" s="296"/>
      <c r="Q232" s="296"/>
      <c r="R232" s="296"/>
      <c r="S232" s="296"/>
      <c r="T232" s="296"/>
      <c r="U232" s="296"/>
      <c r="V232" s="296"/>
    </row>
    <row r="237" spans="1:22" x14ac:dyDescent="0.25">
      <c r="A237" s="296"/>
      <c r="B237" s="296"/>
      <c r="C237" s="296"/>
      <c r="D237" s="296"/>
      <c r="E237" s="296"/>
      <c r="F237" s="296"/>
      <c r="G237" s="296"/>
      <c r="H237" s="296"/>
      <c r="I237" s="296"/>
      <c r="J237" s="296"/>
      <c r="K237" s="296"/>
      <c r="L237" s="296"/>
      <c r="M237" s="296"/>
      <c r="N237" s="296"/>
      <c r="O237" s="296"/>
      <c r="P237" s="296"/>
      <c r="Q237" s="296"/>
      <c r="R237" s="296"/>
      <c r="S237" s="296"/>
      <c r="T237" s="296"/>
      <c r="U237" s="296"/>
      <c r="V237" s="296"/>
    </row>
    <row r="238" spans="1:22" x14ac:dyDescent="0.25">
      <c r="A238" s="296"/>
      <c r="B238" s="538" t="s">
        <v>330</v>
      </c>
      <c r="C238" s="539"/>
      <c r="D238" s="539"/>
      <c r="E238" s="539"/>
      <c r="F238" s="535" t="s">
        <v>329</v>
      </c>
      <c r="G238" s="535"/>
      <c r="H238" s="535"/>
      <c r="I238" s="535"/>
      <c r="J238" s="535"/>
      <c r="K238" s="535"/>
      <c r="L238" s="535"/>
      <c r="M238" s="318"/>
      <c r="N238" s="296"/>
      <c r="O238" s="331" t="s">
        <v>328</v>
      </c>
      <c r="P238" s="540" t="s">
        <v>327</v>
      </c>
      <c r="Q238" s="540"/>
      <c r="R238" s="540"/>
      <c r="S238" s="540"/>
      <c r="T238" s="540"/>
      <c r="U238" s="318"/>
      <c r="V238" s="296"/>
    </row>
    <row r="239" spans="1:22" x14ac:dyDescent="0.25">
      <c r="A239" s="296"/>
      <c r="B239" s="541" t="s">
        <v>326</v>
      </c>
      <c r="C239" s="537"/>
      <c r="D239" s="537"/>
      <c r="E239" s="537"/>
      <c r="F239" s="535" t="s">
        <v>325</v>
      </c>
      <c r="G239" s="535"/>
      <c r="H239" s="535"/>
      <c r="I239" s="535"/>
      <c r="J239" s="535"/>
      <c r="K239" s="535"/>
      <c r="L239" s="535"/>
      <c r="M239" s="300"/>
      <c r="N239" s="296"/>
      <c r="O239" s="307" t="s">
        <v>324</v>
      </c>
      <c r="P239" s="542" t="s">
        <v>323</v>
      </c>
      <c r="Q239" s="542"/>
      <c r="R239" s="542"/>
      <c r="S239" s="542"/>
      <c r="T239" s="542"/>
      <c r="U239" s="300"/>
      <c r="V239" s="296"/>
    </row>
    <row r="240" spans="1:22" x14ac:dyDescent="0.25">
      <c r="A240" s="296"/>
      <c r="B240" s="541" t="s">
        <v>322</v>
      </c>
      <c r="C240" s="537"/>
      <c r="D240" s="537"/>
      <c r="E240" s="537"/>
      <c r="F240" s="535" t="s">
        <v>321</v>
      </c>
      <c r="G240" s="535"/>
      <c r="H240" s="535"/>
      <c r="I240" s="535"/>
      <c r="J240" s="535"/>
      <c r="K240" s="535"/>
      <c r="L240" s="535"/>
      <c r="M240" s="300"/>
      <c r="N240" s="296"/>
      <c r="O240" s="307" t="s">
        <v>320</v>
      </c>
      <c r="P240" s="543" t="s">
        <v>319</v>
      </c>
      <c r="Q240" s="542"/>
      <c r="R240" s="542"/>
      <c r="S240" s="542"/>
      <c r="T240" s="542"/>
      <c r="U240" s="300"/>
      <c r="V240" s="296"/>
    </row>
    <row r="241" spans="1:22" x14ac:dyDescent="0.25">
      <c r="A241" s="296"/>
      <c r="B241" s="541" t="s">
        <v>318</v>
      </c>
      <c r="C241" s="537"/>
      <c r="D241" s="537"/>
      <c r="E241" s="537"/>
      <c r="F241" s="535" t="s">
        <v>317</v>
      </c>
      <c r="G241" s="535"/>
      <c r="H241" s="535"/>
      <c r="I241" s="535"/>
      <c r="J241" s="535"/>
      <c r="K241" s="535"/>
      <c r="L241" s="535"/>
      <c r="M241" s="300"/>
      <c r="N241" s="296"/>
      <c r="O241" s="307" t="s">
        <v>316</v>
      </c>
      <c r="P241" s="337"/>
      <c r="Q241" s="336" t="s">
        <v>462</v>
      </c>
      <c r="R241" s="336"/>
      <c r="S241" s="336"/>
      <c r="T241" s="336"/>
      <c r="U241" s="300"/>
      <c r="V241" s="296"/>
    </row>
    <row r="242" spans="1:22" x14ac:dyDescent="0.25">
      <c r="A242" s="296"/>
      <c r="B242" s="541" t="s">
        <v>315</v>
      </c>
      <c r="C242" s="537"/>
      <c r="D242" s="537"/>
      <c r="E242" s="537"/>
      <c r="F242" s="542" t="s">
        <v>314</v>
      </c>
      <c r="G242" s="542"/>
      <c r="H242" s="542"/>
      <c r="I242" s="542"/>
      <c r="J242" s="542"/>
      <c r="K242" s="542"/>
      <c r="L242" s="542"/>
      <c r="M242" s="300"/>
      <c r="N242" s="296"/>
      <c r="O242" s="307" t="s">
        <v>313</v>
      </c>
      <c r="P242" s="544" t="s">
        <v>461</v>
      </c>
      <c r="Q242" s="542"/>
      <c r="R242" s="542"/>
      <c r="S242" s="542"/>
      <c r="T242" s="542"/>
      <c r="U242" s="300"/>
      <c r="V242" s="296"/>
    </row>
    <row r="243" spans="1:22" x14ac:dyDescent="0.25">
      <c r="A243" s="296"/>
      <c r="B243" s="545"/>
      <c r="C243" s="546"/>
      <c r="D243" s="546"/>
      <c r="E243" s="546"/>
      <c r="F243" s="335"/>
      <c r="G243" s="335"/>
      <c r="H243" s="335"/>
      <c r="I243" s="335"/>
      <c r="J243" s="335"/>
      <c r="K243" s="335"/>
      <c r="L243" s="335"/>
      <c r="M243" s="297"/>
      <c r="N243" s="296"/>
      <c r="O243" s="299"/>
      <c r="P243" s="335"/>
      <c r="Q243" s="335"/>
      <c r="R243" s="335"/>
      <c r="S243" s="335"/>
      <c r="T243" s="335"/>
      <c r="U243" s="297"/>
      <c r="V243" s="296"/>
    </row>
    <row r="244" spans="1:22" x14ac:dyDescent="0.25">
      <c r="A244" s="296"/>
      <c r="B244" s="296"/>
      <c r="C244" s="296"/>
      <c r="D244" s="296"/>
      <c r="E244" s="296"/>
      <c r="F244" s="296"/>
      <c r="G244" s="296"/>
      <c r="H244" s="296"/>
      <c r="I244" s="296"/>
      <c r="J244" s="296"/>
      <c r="K244" s="296"/>
      <c r="L244" s="296"/>
      <c r="M244" s="296"/>
      <c r="N244" s="296"/>
      <c r="O244" s="296"/>
      <c r="P244" s="296"/>
      <c r="Q244" s="296"/>
      <c r="R244" s="296"/>
      <c r="S244" s="296"/>
      <c r="T244" s="296"/>
      <c r="U244" s="296"/>
      <c r="V244" s="296"/>
    </row>
    <row r="245" spans="1:22" x14ac:dyDescent="0.25">
      <c r="A245" s="296"/>
      <c r="B245" s="547" t="s">
        <v>312</v>
      </c>
      <c r="C245" s="548"/>
      <c r="D245" s="548"/>
      <c r="E245" s="548"/>
      <c r="F245" s="548"/>
      <c r="G245" s="328" t="s">
        <v>311</v>
      </c>
      <c r="H245" s="332">
        <v>2</v>
      </c>
      <c r="I245" s="328" t="s">
        <v>266</v>
      </c>
      <c r="J245" s="333" t="s">
        <v>0</v>
      </c>
      <c r="K245" s="334" t="s">
        <v>310</v>
      </c>
      <c r="L245" s="332">
        <v>31</v>
      </c>
      <c r="M245" s="328"/>
      <c r="N245" s="328" t="s">
        <v>266</v>
      </c>
      <c r="O245" s="333" t="s">
        <v>0</v>
      </c>
      <c r="P245" s="328" t="s">
        <v>266</v>
      </c>
      <c r="Q245" s="332">
        <v>2022</v>
      </c>
      <c r="R245" s="328" t="s">
        <v>309</v>
      </c>
      <c r="S245" s="328"/>
      <c r="T245" s="332">
        <v>30</v>
      </c>
      <c r="U245" s="318"/>
      <c r="V245" s="296"/>
    </row>
    <row r="246" spans="1:22" x14ac:dyDescent="0.25">
      <c r="A246" s="296"/>
      <c r="B246" s="299"/>
      <c r="C246" s="298"/>
      <c r="D246" s="298"/>
      <c r="E246" s="298"/>
      <c r="F246" s="298"/>
      <c r="G246" s="298"/>
      <c r="H246" s="298"/>
      <c r="I246" s="298"/>
      <c r="J246" s="298"/>
      <c r="K246" s="298"/>
      <c r="L246" s="298"/>
      <c r="M246" s="298"/>
      <c r="N246" s="298"/>
      <c r="O246" s="298"/>
      <c r="P246" s="298"/>
      <c r="Q246" s="298"/>
      <c r="R246" s="298"/>
      <c r="S246" s="298"/>
      <c r="T246" s="298"/>
      <c r="U246" s="297"/>
      <c r="V246" s="296"/>
    </row>
    <row r="247" spans="1:22" x14ac:dyDescent="0.25">
      <c r="A247" s="296"/>
      <c r="B247" s="296"/>
      <c r="C247" s="296"/>
      <c r="D247" s="296"/>
      <c r="E247" s="296"/>
      <c r="F247" s="296"/>
      <c r="G247" s="296"/>
      <c r="H247" s="296"/>
      <c r="I247" s="296"/>
      <c r="J247" s="296"/>
      <c r="K247" s="296"/>
      <c r="L247" s="296"/>
      <c r="M247" s="296"/>
      <c r="N247" s="296"/>
      <c r="O247" s="296"/>
      <c r="P247" s="296"/>
      <c r="Q247" s="296"/>
      <c r="R247" s="296"/>
      <c r="S247" s="296"/>
      <c r="T247" s="296"/>
      <c r="U247" s="296"/>
      <c r="V247" s="296"/>
    </row>
    <row r="248" spans="1:22" x14ac:dyDescent="0.25">
      <c r="A248" s="296"/>
      <c r="B248" s="331"/>
      <c r="C248" s="330" t="s">
        <v>308</v>
      </c>
      <c r="D248" s="330" t="s">
        <v>307</v>
      </c>
      <c r="E248" s="330"/>
      <c r="F248" s="330"/>
      <c r="G248" s="328"/>
      <c r="H248" s="328"/>
      <c r="I248" s="328"/>
      <c r="J248" s="328"/>
      <c r="K248" s="328"/>
      <c r="L248" s="328"/>
      <c r="M248" s="328"/>
      <c r="N248" s="328"/>
      <c r="O248" s="328"/>
      <c r="P248" s="329" t="s">
        <v>126</v>
      </c>
      <c r="Q248" s="328"/>
      <c r="R248" s="328"/>
      <c r="S248" s="328"/>
      <c r="T248" s="327" t="s">
        <v>306</v>
      </c>
      <c r="U248" s="318"/>
      <c r="V248" s="296"/>
    </row>
    <row r="249" spans="1:22" x14ac:dyDescent="0.25">
      <c r="A249" s="296"/>
      <c r="B249" s="307"/>
      <c r="C249" s="313" t="s">
        <v>305</v>
      </c>
      <c r="D249" s="313" t="s">
        <v>304</v>
      </c>
      <c r="E249" s="301"/>
      <c r="F249" s="301"/>
      <c r="G249" s="301"/>
      <c r="H249" s="301"/>
      <c r="I249" s="301"/>
      <c r="J249" s="301"/>
      <c r="K249" s="301"/>
      <c r="L249" s="301"/>
      <c r="M249" s="301"/>
      <c r="N249" s="301"/>
      <c r="O249" s="301"/>
      <c r="P249" s="301"/>
      <c r="Q249" s="301"/>
      <c r="R249" s="301"/>
      <c r="S249" s="301"/>
      <c r="T249" s="301"/>
      <c r="U249" s="300"/>
      <c r="V249" s="296"/>
    </row>
    <row r="250" spans="1:22" x14ac:dyDescent="0.25">
      <c r="A250" s="296"/>
      <c r="B250" s="307"/>
      <c r="C250" s="301"/>
      <c r="D250" s="537" t="s">
        <v>303</v>
      </c>
      <c r="E250" s="537"/>
      <c r="F250" s="537"/>
      <c r="G250" s="537"/>
      <c r="H250" s="537"/>
      <c r="I250" s="537"/>
      <c r="J250" s="537"/>
      <c r="K250" s="537"/>
      <c r="L250" s="537"/>
      <c r="M250" s="537"/>
      <c r="N250" s="537"/>
      <c r="O250" s="537"/>
      <c r="P250" s="549">
        <v>1450</v>
      </c>
      <c r="Q250" s="549"/>
      <c r="R250" s="549"/>
      <c r="S250" s="301"/>
      <c r="T250" s="301"/>
      <c r="U250" s="300"/>
      <c r="V250" s="296"/>
    </row>
    <row r="251" spans="1:22" x14ac:dyDescent="0.25">
      <c r="A251" s="296"/>
      <c r="B251" s="307"/>
      <c r="C251" s="301"/>
      <c r="D251" s="301" t="s">
        <v>302</v>
      </c>
      <c r="E251" s="301"/>
      <c r="F251" s="301"/>
      <c r="G251" s="301"/>
      <c r="H251" s="301"/>
      <c r="I251" s="301"/>
      <c r="J251" s="301"/>
      <c r="K251" s="301"/>
      <c r="L251" s="301"/>
      <c r="M251" s="301"/>
      <c r="N251" s="301"/>
      <c r="O251" s="301"/>
      <c r="P251" s="550"/>
      <c r="Q251" s="550"/>
      <c r="R251" s="550"/>
      <c r="S251" s="301"/>
      <c r="T251" s="301"/>
      <c r="U251" s="300"/>
      <c r="V251" s="296"/>
    </row>
    <row r="252" spans="1:22" x14ac:dyDescent="0.25">
      <c r="A252" s="296"/>
      <c r="B252" s="307"/>
      <c r="C252" s="301"/>
      <c r="D252" s="301"/>
      <c r="E252" s="551"/>
      <c r="F252" s="551"/>
      <c r="G252" s="551"/>
      <c r="H252" s="551"/>
      <c r="I252" s="551"/>
      <c r="J252" s="551"/>
      <c r="K252" s="551"/>
      <c r="L252" s="551"/>
      <c r="M252" s="551"/>
      <c r="N252" s="551"/>
      <c r="O252" s="301" t="s">
        <v>290</v>
      </c>
      <c r="P252" s="549"/>
      <c r="Q252" s="549"/>
      <c r="R252" s="549"/>
      <c r="S252" s="301"/>
      <c r="T252" s="301"/>
      <c r="U252" s="300"/>
      <c r="V252" s="296"/>
    </row>
    <row r="253" spans="1:22" x14ac:dyDescent="0.25">
      <c r="A253" s="296"/>
      <c r="B253" s="307"/>
      <c r="C253" s="301"/>
      <c r="D253" s="301"/>
      <c r="E253" s="535"/>
      <c r="F253" s="535"/>
      <c r="G253" s="535"/>
      <c r="H253" s="535"/>
      <c r="I253" s="535"/>
      <c r="J253" s="535"/>
      <c r="K253" s="535"/>
      <c r="L253" s="535"/>
      <c r="M253" s="535"/>
      <c r="N253" s="535"/>
      <c r="O253" s="301" t="s">
        <v>290</v>
      </c>
      <c r="P253" s="536"/>
      <c r="Q253" s="536"/>
      <c r="R253" s="536"/>
      <c r="S253" s="301"/>
      <c r="T253" s="301"/>
      <c r="U253" s="300"/>
      <c r="V253" s="296"/>
    </row>
    <row r="254" spans="1:22" x14ac:dyDescent="0.25">
      <c r="A254" s="296"/>
      <c r="B254" s="307"/>
      <c r="C254" s="301"/>
      <c r="D254" s="301"/>
      <c r="E254" s="535"/>
      <c r="F254" s="535"/>
      <c r="G254" s="535"/>
      <c r="H254" s="535"/>
      <c r="I254" s="535"/>
      <c r="J254" s="535"/>
      <c r="K254" s="535"/>
      <c r="L254" s="535"/>
      <c r="M254" s="535"/>
      <c r="N254" s="535"/>
      <c r="O254" s="301" t="s">
        <v>290</v>
      </c>
      <c r="P254" s="536"/>
      <c r="Q254" s="536"/>
      <c r="R254" s="536"/>
      <c r="S254" s="301"/>
      <c r="T254" s="301"/>
      <c r="U254" s="300"/>
      <c r="V254" s="296"/>
    </row>
    <row r="255" spans="1:22" x14ac:dyDescent="0.25">
      <c r="A255" s="296"/>
      <c r="B255" s="307"/>
      <c r="C255" s="301"/>
      <c r="D255" s="537" t="s">
        <v>301</v>
      </c>
      <c r="E255" s="537"/>
      <c r="F255" s="537"/>
      <c r="G255" s="537"/>
      <c r="H255" s="537"/>
      <c r="I255" s="537"/>
      <c r="J255" s="537"/>
      <c r="K255" s="537"/>
      <c r="L255" s="537"/>
      <c r="M255" s="537"/>
      <c r="N255" s="537"/>
      <c r="O255" s="537"/>
      <c r="P255" s="536"/>
      <c r="Q255" s="536"/>
      <c r="R255" s="536"/>
      <c r="S255" s="301"/>
      <c r="T255" s="301"/>
      <c r="U255" s="300"/>
      <c r="V255" s="296"/>
    </row>
    <row r="256" spans="1:22" x14ac:dyDescent="0.25">
      <c r="A256" s="296"/>
      <c r="B256" s="307"/>
      <c r="C256" s="301"/>
      <c r="D256" s="537" t="s">
        <v>300</v>
      </c>
      <c r="E256" s="537"/>
      <c r="F256" s="537"/>
      <c r="G256" s="537"/>
      <c r="H256" s="537"/>
      <c r="I256" s="537"/>
      <c r="J256" s="537"/>
      <c r="K256" s="537"/>
      <c r="L256" s="537"/>
      <c r="M256" s="537"/>
      <c r="N256" s="537"/>
      <c r="O256" s="537"/>
      <c r="P256" s="536"/>
      <c r="Q256" s="536"/>
      <c r="R256" s="536"/>
      <c r="S256" s="301"/>
      <c r="T256" s="301"/>
      <c r="U256" s="300"/>
      <c r="V256" s="296"/>
    </row>
    <row r="257" spans="1:22" x14ac:dyDescent="0.25">
      <c r="A257" s="296"/>
      <c r="B257" s="307"/>
      <c r="C257" s="301"/>
      <c r="D257" s="553" t="s">
        <v>299</v>
      </c>
      <c r="E257" s="553"/>
      <c r="F257" s="553"/>
      <c r="G257" s="553"/>
      <c r="H257" s="553"/>
      <c r="I257" s="553"/>
      <c r="J257" s="553"/>
      <c r="K257" s="553"/>
      <c r="L257" s="553"/>
      <c r="M257" s="553"/>
      <c r="N257" s="553"/>
      <c r="O257" s="553"/>
      <c r="P257" s="536"/>
      <c r="Q257" s="536"/>
      <c r="R257" s="536"/>
      <c r="S257" s="301"/>
      <c r="T257" s="301"/>
      <c r="U257" s="300"/>
      <c r="V257" s="296"/>
    </row>
    <row r="258" spans="1:22" x14ac:dyDescent="0.25">
      <c r="A258" s="296"/>
      <c r="B258" s="307"/>
      <c r="C258" s="301"/>
      <c r="D258" s="537" t="s">
        <v>298</v>
      </c>
      <c r="E258" s="537"/>
      <c r="F258" s="537"/>
      <c r="G258" s="537"/>
      <c r="H258" s="537"/>
      <c r="I258" s="537"/>
      <c r="J258" s="537"/>
      <c r="K258" s="537"/>
      <c r="L258" s="537"/>
      <c r="M258" s="537"/>
      <c r="N258" s="537"/>
      <c r="O258" s="537"/>
      <c r="P258" s="536">
        <v>20</v>
      </c>
      <c r="Q258" s="536"/>
      <c r="R258" s="536"/>
      <c r="S258" s="301"/>
      <c r="T258" s="301"/>
      <c r="U258" s="300"/>
      <c r="V258" s="296"/>
    </row>
    <row r="259" spans="1:22" x14ac:dyDescent="0.25">
      <c r="A259" s="296"/>
      <c r="B259" s="307"/>
      <c r="C259" s="301"/>
      <c r="D259" s="537" t="s">
        <v>297</v>
      </c>
      <c r="E259" s="537"/>
      <c r="F259" s="537"/>
      <c r="G259" s="537"/>
      <c r="H259" s="537"/>
      <c r="I259" s="537"/>
      <c r="J259" s="537"/>
      <c r="K259" s="537"/>
      <c r="L259" s="537"/>
      <c r="M259" s="537"/>
      <c r="N259" s="537"/>
      <c r="O259" s="537"/>
      <c r="P259" s="536"/>
      <c r="Q259" s="536"/>
      <c r="R259" s="536"/>
      <c r="S259" s="301"/>
      <c r="T259" s="301"/>
      <c r="U259" s="300"/>
      <c r="V259" s="296"/>
    </row>
    <row r="260" spans="1:22" x14ac:dyDescent="0.25">
      <c r="A260" s="296"/>
      <c r="B260" s="307"/>
      <c r="C260" s="301"/>
      <c r="D260" s="301"/>
      <c r="E260" s="301"/>
      <c r="F260" s="301"/>
      <c r="G260" s="301"/>
      <c r="H260" s="301"/>
      <c r="I260" s="301"/>
      <c r="J260" s="301"/>
      <c r="K260" s="301"/>
      <c r="L260" s="301"/>
      <c r="M260" s="301"/>
      <c r="N260" s="301"/>
      <c r="O260" s="301"/>
      <c r="P260" s="301"/>
      <c r="Q260" s="301"/>
      <c r="R260" s="301"/>
      <c r="S260" s="301"/>
      <c r="T260" s="301"/>
      <c r="U260" s="300"/>
      <c r="V260" s="296"/>
    </row>
    <row r="261" spans="1:22" x14ac:dyDescent="0.25">
      <c r="A261" s="296"/>
      <c r="B261" s="307"/>
      <c r="C261" s="313" t="s">
        <v>296</v>
      </c>
      <c r="D261" s="313" t="s">
        <v>295</v>
      </c>
      <c r="E261" s="301"/>
      <c r="F261" s="301"/>
      <c r="G261" s="301"/>
      <c r="H261" s="301"/>
      <c r="I261" s="301"/>
      <c r="J261" s="301"/>
      <c r="K261" s="301"/>
      <c r="L261" s="301"/>
      <c r="M261" s="301"/>
      <c r="N261" s="301"/>
      <c r="O261" s="301"/>
      <c r="P261" s="301"/>
      <c r="Q261" s="301"/>
      <c r="R261" s="301"/>
      <c r="S261" s="301"/>
      <c r="T261" s="301"/>
      <c r="U261" s="300"/>
      <c r="V261" s="296"/>
    </row>
    <row r="262" spans="1:22" x14ac:dyDescent="0.25">
      <c r="A262" s="296"/>
      <c r="B262" s="307"/>
      <c r="C262" s="301"/>
      <c r="D262" s="301" t="s">
        <v>294</v>
      </c>
      <c r="E262" s="301"/>
      <c r="F262" s="301"/>
      <c r="G262" s="301"/>
      <c r="H262" s="301"/>
      <c r="I262" s="301"/>
      <c r="J262" s="301"/>
      <c r="K262" s="301"/>
      <c r="L262" s="301"/>
      <c r="M262" s="301"/>
      <c r="N262" s="301"/>
      <c r="O262" s="301"/>
      <c r="P262" s="301"/>
      <c r="Q262" s="301"/>
      <c r="R262" s="301"/>
      <c r="S262" s="301"/>
      <c r="T262" s="301"/>
      <c r="U262" s="300"/>
      <c r="V262" s="296"/>
    </row>
    <row r="263" spans="1:22" x14ac:dyDescent="0.25">
      <c r="A263" s="296"/>
      <c r="B263" s="307"/>
      <c r="C263" s="301"/>
      <c r="D263" s="301"/>
      <c r="E263" s="551"/>
      <c r="F263" s="551"/>
      <c r="G263" s="551"/>
      <c r="H263" s="551"/>
      <c r="I263" s="551"/>
      <c r="J263" s="551"/>
      <c r="K263" s="551"/>
      <c r="L263" s="551"/>
      <c r="M263" s="551"/>
      <c r="N263" s="551"/>
      <c r="O263" s="301" t="s">
        <v>290</v>
      </c>
      <c r="P263" s="549"/>
      <c r="Q263" s="549"/>
      <c r="R263" s="549"/>
      <c r="S263" s="301"/>
      <c r="T263" s="301"/>
      <c r="U263" s="300"/>
      <c r="V263" s="296"/>
    </row>
    <row r="264" spans="1:22" x14ac:dyDescent="0.25">
      <c r="A264" s="296"/>
      <c r="B264" s="307"/>
      <c r="C264" s="301"/>
      <c r="D264" s="301"/>
      <c r="E264" s="535"/>
      <c r="F264" s="535"/>
      <c r="G264" s="535"/>
      <c r="H264" s="535"/>
      <c r="I264" s="535"/>
      <c r="J264" s="535"/>
      <c r="K264" s="535"/>
      <c r="L264" s="535"/>
      <c r="M264" s="535"/>
      <c r="N264" s="535"/>
      <c r="O264" s="301" t="s">
        <v>290</v>
      </c>
      <c r="P264" s="536"/>
      <c r="Q264" s="536"/>
      <c r="R264" s="536"/>
      <c r="S264" s="301"/>
      <c r="T264" s="301"/>
      <c r="U264" s="300"/>
      <c r="V264" s="296"/>
    </row>
    <row r="265" spans="1:22" x14ac:dyDescent="0.25">
      <c r="A265" s="296"/>
      <c r="B265" s="307"/>
      <c r="C265" s="301"/>
      <c r="D265" s="301"/>
      <c r="E265" s="535"/>
      <c r="F265" s="535"/>
      <c r="G265" s="535"/>
      <c r="H265" s="535"/>
      <c r="I265" s="535"/>
      <c r="J265" s="535"/>
      <c r="K265" s="535"/>
      <c r="L265" s="535"/>
      <c r="M265" s="535"/>
      <c r="N265" s="535"/>
      <c r="O265" s="301" t="s">
        <v>290</v>
      </c>
      <c r="P265" s="536"/>
      <c r="Q265" s="536"/>
      <c r="R265" s="536"/>
      <c r="S265" s="301"/>
      <c r="T265" s="301"/>
      <c r="U265" s="300"/>
      <c r="V265" s="296"/>
    </row>
    <row r="266" spans="1:22" x14ac:dyDescent="0.25">
      <c r="A266" s="296"/>
      <c r="B266" s="307"/>
      <c r="C266" s="301"/>
      <c r="D266" s="301" t="s">
        <v>293</v>
      </c>
      <c r="E266" s="301"/>
      <c r="F266" s="301"/>
      <c r="G266" s="301"/>
      <c r="H266" s="301"/>
      <c r="I266" s="301"/>
      <c r="J266" s="301"/>
      <c r="K266" s="301"/>
      <c r="L266" s="301"/>
      <c r="M266" s="301"/>
      <c r="N266" s="301"/>
      <c r="O266" s="301"/>
      <c r="P266" s="301"/>
      <c r="Q266" s="301"/>
      <c r="R266" s="301"/>
      <c r="S266" s="301"/>
      <c r="T266" s="301"/>
      <c r="U266" s="300"/>
      <c r="V266" s="296"/>
    </row>
    <row r="267" spans="1:22" x14ac:dyDescent="0.25">
      <c r="A267" s="296"/>
      <c r="B267" s="307"/>
      <c r="C267" s="301"/>
      <c r="D267" s="301"/>
      <c r="E267" s="551"/>
      <c r="F267" s="551"/>
      <c r="G267" s="551"/>
      <c r="H267" s="551"/>
      <c r="I267" s="551"/>
      <c r="J267" s="551"/>
      <c r="K267" s="551"/>
      <c r="L267" s="551"/>
      <c r="M267" s="551"/>
      <c r="N267" s="551"/>
      <c r="O267" s="301" t="s">
        <v>290</v>
      </c>
      <c r="P267" s="549"/>
      <c r="Q267" s="549"/>
      <c r="R267" s="549"/>
      <c r="S267" s="301"/>
      <c r="T267" s="301"/>
      <c r="U267" s="300"/>
      <c r="V267" s="296"/>
    </row>
    <row r="268" spans="1:22" x14ac:dyDescent="0.25">
      <c r="A268" s="296"/>
      <c r="B268" s="307"/>
      <c r="C268" s="301"/>
      <c r="D268" s="301" t="s">
        <v>292</v>
      </c>
      <c r="E268" s="301"/>
      <c r="F268" s="301"/>
      <c r="G268" s="301"/>
      <c r="H268" s="301"/>
      <c r="I268" s="301"/>
      <c r="J268" s="301"/>
      <c r="K268" s="301"/>
      <c r="L268" s="301"/>
      <c r="M268" s="301"/>
      <c r="N268" s="301"/>
      <c r="O268" s="301"/>
      <c r="P268" s="314"/>
      <c r="Q268" s="314"/>
      <c r="R268" s="314"/>
      <c r="S268" s="301"/>
      <c r="T268" s="301"/>
      <c r="U268" s="300"/>
      <c r="V268" s="296"/>
    </row>
    <row r="269" spans="1:22" x14ac:dyDescent="0.25">
      <c r="A269" s="296"/>
      <c r="B269" s="307"/>
      <c r="C269" s="301"/>
      <c r="D269" s="301"/>
      <c r="E269" s="551"/>
      <c r="F269" s="551"/>
      <c r="G269" s="551"/>
      <c r="H269" s="551"/>
      <c r="I269" s="551"/>
      <c r="J269" s="551"/>
      <c r="K269" s="551"/>
      <c r="L269" s="551"/>
      <c r="M269" s="551"/>
      <c r="N269" s="551"/>
      <c r="O269" s="301" t="s">
        <v>290</v>
      </c>
      <c r="P269" s="549"/>
      <c r="Q269" s="549"/>
      <c r="R269" s="549"/>
      <c r="S269" s="301"/>
      <c r="T269" s="301"/>
      <c r="U269" s="300"/>
      <c r="V269" s="296"/>
    </row>
    <row r="270" spans="1:22" x14ac:dyDescent="0.25">
      <c r="A270" s="296"/>
      <c r="B270" s="307"/>
      <c r="C270" s="301"/>
      <c r="D270" s="301" t="s">
        <v>291</v>
      </c>
      <c r="E270" s="301"/>
      <c r="F270" s="301"/>
      <c r="G270" s="301"/>
      <c r="H270" s="301"/>
      <c r="I270" s="301"/>
      <c r="J270" s="301"/>
      <c r="K270" s="301"/>
      <c r="L270" s="301"/>
      <c r="M270" s="301"/>
      <c r="N270" s="301"/>
      <c r="O270" s="301"/>
      <c r="P270" s="314"/>
      <c r="Q270" s="314"/>
      <c r="R270" s="314"/>
      <c r="S270" s="301"/>
      <c r="T270" s="301"/>
      <c r="U270" s="300"/>
      <c r="V270" s="296"/>
    </row>
    <row r="271" spans="1:22" x14ac:dyDescent="0.25">
      <c r="A271" s="296"/>
      <c r="B271" s="307"/>
      <c r="C271" s="301"/>
      <c r="D271" s="301"/>
      <c r="E271" s="551"/>
      <c r="F271" s="551"/>
      <c r="G271" s="551"/>
      <c r="H271" s="551"/>
      <c r="I271" s="551"/>
      <c r="J271" s="551"/>
      <c r="K271" s="551"/>
      <c r="L271" s="551"/>
      <c r="M271" s="551"/>
      <c r="N271" s="551"/>
      <c r="O271" s="301" t="s">
        <v>290</v>
      </c>
      <c r="P271" s="549"/>
      <c r="Q271" s="549"/>
      <c r="R271" s="549"/>
      <c r="S271" s="301"/>
      <c r="T271" s="301"/>
      <c r="U271" s="300"/>
      <c r="V271" s="296"/>
    </row>
    <row r="272" spans="1:22" x14ac:dyDescent="0.25">
      <c r="A272" s="296"/>
      <c r="B272" s="307"/>
      <c r="C272" s="301"/>
      <c r="D272" s="301"/>
      <c r="E272" s="301"/>
      <c r="F272" s="301"/>
      <c r="G272" s="301"/>
      <c r="H272" s="301"/>
      <c r="I272" s="301"/>
      <c r="J272" s="301"/>
      <c r="K272" s="301"/>
      <c r="L272" s="301"/>
      <c r="M272" s="301"/>
      <c r="N272" s="301"/>
      <c r="O272" s="301"/>
      <c r="P272" s="301"/>
      <c r="Q272" s="301"/>
      <c r="R272" s="301"/>
      <c r="S272" s="301"/>
      <c r="T272" s="301"/>
      <c r="U272" s="300"/>
      <c r="V272" s="296"/>
    </row>
    <row r="273" spans="1:22" x14ac:dyDescent="0.25">
      <c r="A273" s="296"/>
      <c r="B273" s="307"/>
      <c r="C273" s="301"/>
      <c r="D273" s="301"/>
      <c r="E273" s="301"/>
      <c r="F273" s="301"/>
      <c r="G273" s="301"/>
      <c r="H273" s="301"/>
      <c r="I273" s="301"/>
      <c r="J273" s="554" t="s">
        <v>289</v>
      </c>
      <c r="K273" s="554"/>
      <c r="L273" s="554"/>
      <c r="M273" s="554"/>
      <c r="N273" s="554"/>
      <c r="O273" s="554"/>
      <c r="P273" s="554"/>
      <c r="Q273" s="554"/>
      <c r="R273" s="554"/>
      <c r="T273" s="326">
        <f>P250+P258</f>
        <v>1470</v>
      </c>
      <c r="U273" s="300"/>
      <c r="V273" s="296"/>
    </row>
    <row r="274" spans="1:22" x14ac:dyDescent="0.25">
      <c r="A274" s="296"/>
      <c r="B274" s="307"/>
      <c r="C274" s="301"/>
      <c r="D274" s="301"/>
      <c r="E274" s="301"/>
      <c r="F274" s="301"/>
      <c r="G274" s="301"/>
      <c r="H274" s="301"/>
      <c r="I274" s="301"/>
      <c r="J274" s="301"/>
      <c r="K274" s="301"/>
      <c r="L274" s="301"/>
      <c r="M274" s="301"/>
      <c r="N274" s="301"/>
      <c r="O274" s="301"/>
      <c r="P274" s="301"/>
      <c r="Q274" s="301"/>
      <c r="R274" s="301"/>
      <c r="S274" s="301"/>
      <c r="T274" s="301"/>
      <c r="U274" s="300"/>
      <c r="V274" s="296"/>
    </row>
    <row r="275" spans="1:22" x14ac:dyDescent="0.25">
      <c r="A275" s="296"/>
      <c r="B275" s="307"/>
      <c r="C275" s="325" t="s">
        <v>288</v>
      </c>
      <c r="D275" s="325" t="s">
        <v>287</v>
      </c>
      <c r="E275" s="325"/>
      <c r="F275" s="325"/>
      <c r="G275" s="301"/>
      <c r="H275" s="301"/>
      <c r="I275" s="301"/>
      <c r="J275" s="301"/>
      <c r="K275" s="301"/>
      <c r="L275" s="301"/>
      <c r="M275" s="301"/>
      <c r="N275" s="301"/>
      <c r="O275" s="301"/>
      <c r="P275" s="301"/>
      <c r="Q275" s="301"/>
      <c r="R275" s="301"/>
      <c r="S275" s="301"/>
      <c r="T275" s="301"/>
      <c r="U275" s="300"/>
      <c r="V275" s="296"/>
    </row>
    <row r="276" spans="1:22" x14ac:dyDescent="0.25">
      <c r="A276" s="296"/>
      <c r="B276" s="307"/>
      <c r="C276" s="301"/>
      <c r="D276" s="301" t="s">
        <v>262</v>
      </c>
      <c r="E276" s="324" t="s">
        <v>286</v>
      </c>
      <c r="F276" s="324"/>
      <c r="G276" s="302"/>
      <c r="H276" s="302"/>
      <c r="I276" s="302"/>
      <c r="J276" s="302"/>
      <c r="K276" s="301"/>
      <c r="L276" s="301"/>
      <c r="M276" s="301"/>
      <c r="N276" s="301"/>
      <c r="O276" s="301"/>
      <c r="P276" s="301"/>
      <c r="Q276" s="301"/>
      <c r="R276" s="301"/>
      <c r="S276" s="301"/>
      <c r="T276" s="301"/>
      <c r="U276" s="300"/>
      <c r="V276" s="296"/>
    </row>
    <row r="277" spans="1:22" x14ac:dyDescent="0.25">
      <c r="A277" s="296"/>
      <c r="B277" s="307"/>
      <c r="C277" s="301"/>
      <c r="D277" s="301"/>
      <c r="E277" s="552" t="s">
        <v>285</v>
      </c>
      <c r="F277" s="552"/>
      <c r="G277" s="552"/>
      <c r="H277" s="552"/>
      <c r="I277" s="552"/>
      <c r="J277" s="552"/>
      <c r="K277" s="308">
        <v>4.7</v>
      </c>
      <c r="L277" s="301" t="s">
        <v>278</v>
      </c>
      <c r="M277" s="301"/>
      <c r="N277" s="549">
        <f>T273*0.047</f>
        <v>69.09</v>
      </c>
      <c r="O277" s="549"/>
      <c r="P277" s="301"/>
      <c r="Q277" s="301"/>
      <c r="R277" s="301"/>
      <c r="S277" s="301"/>
      <c r="T277" s="301"/>
      <c r="U277" s="300"/>
      <c r="V277" s="296"/>
    </row>
    <row r="278" spans="1:22" x14ac:dyDescent="0.25">
      <c r="A278" s="296"/>
      <c r="B278" s="307"/>
      <c r="C278" s="301"/>
      <c r="D278" s="301"/>
      <c r="E278" s="552" t="s">
        <v>284</v>
      </c>
      <c r="F278" s="552"/>
      <c r="G278" s="552"/>
      <c r="H278" s="552"/>
      <c r="I278" s="552"/>
      <c r="J278" s="552"/>
      <c r="K278" s="308">
        <v>1.55</v>
      </c>
      <c r="L278" s="301" t="s">
        <v>278</v>
      </c>
      <c r="M278" s="301"/>
      <c r="N278" s="536">
        <f>T273*0.0155</f>
        <v>22.785</v>
      </c>
      <c r="O278" s="536"/>
      <c r="P278" s="301"/>
      <c r="Q278" s="301"/>
      <c r="R278" s="301"/>
      <c r="S278" s="301"/>
      <c r="T278" s="301"/>
      <c r="U278" s="300"/>
      <c r="V278" s="296"/>
    </row>
    <row r="279" spans="1:22" x14ac:dyDescent="0.25">
      <c r="A279" s="296"/>
      <c r="B279" s="307"/>
      <c r="C279" s="301"/>
      <c r="D279" s="301"/>
      <c r="E279" s="552" t="s">
        <v>283</v>
      </c>
      <c r="F279" s="552"/>
      <c r="G279" s="552"/>
      <c r="H279" s="552"/>
      <c r="I279" s="552"/>
      <c r="J279" s="552"/>
      <c r="K279" s="308">
        <v>0.1</v>
      </c>
      <c r="L279" s="301" t="s">
        <v>278</v>
      </c>
      <c r="M279" s="301"/>
      <c r="N279" s="536">
        <f>T273*0.001</f>
        <v>1.47</v>
      </c>
      <c r="O279" s="536"/>
      <c r="P279" s="301"/>
      <c r="Q279" s="301"/>
      <c r="R279" s="301"/>
      <c r="S279" s="301"/>
      <c r="T279" s="301"/>
      <c r="U279" s="300"/>
      <c r="V279" s="296"/>
    </row>
    <row r="280" spans="1:22" x14ac:dyDescent="0.25">
      <c r="A280" s="296"/>
      <c r="B280" s="307"/>
      <c r="C280" s="301"/>
      <c r="D280" s="301"/>
      <c r="E280" s="552" t="s">
        <v>282</v>
      </c>
      <c r="F280" s="552"/>
      <c r="G280" s="552"/>
      <c r="H280" s="552"/>
      <c r="I280" s="552"/>
      <c r="J280" s="552"/>
      <c r="K280" s="308">
        <v>2</v>
      </c>
      <c r="L280" s="301" t="s">
        <v>278</v>
      </c>
      <c r="M280" s="301"/>
      <c r="N280" s="536">
        <v>0</v>
      </c>
      <c r="O280" s="536"/>
      <c r="P280" s="301"/>
      <c r="Q280" s="301"/>
      <c r="R280" s="301"/>
      <c r="S280" s="301"/>
      <c r="T280" s="301"/>
      <c r="U280" s="300"/>
      <c r="V280" s="296"/>
    </row>
    <row r="281" spans="1:22" x14ac:dyDescent="0.25">
      <c r="A281" s="296"/>
      <c r="B281" s="307"/>
      <c r="C281" s="301"/>
      <c r="D281" s="301"/>
      <c r="E281" s="552" t="s">
        <v>281</v>
      </c>
      <c r="F281" s="552"/>
      <c r="G281" s="552"/>
      <c r="H281" s="552"/>
      <c r="I281" s="552"/>
      <c r="J281" s="552"/>
      <c r="K281" s="308">
        <v>4.7</v>
      </c>
      <c r="L281" s="301" t="s">
        <v>278</v>
      </c>
      <c r="M281" s="301"/>
      <c r="N281" s="536">
        <v>0</v>
      </c>
      <c r="O281" s="536"/>
      <c r="P281" s="301"/>
      <c r="Q281" s="301"/>
      <c r="R281" s="301"/>
      <c r="S281" s="301"/>
      <c r="T281" s="301"/>
      <c r="U281" s="300"/>
      <c r="V281" s="296"/>
    </row>
    <row r="282" spans="1:22" x14ac:dyDescent="0.25">
      <c r="A282" s="296"/>
      <c r="B282" s="307"/>
      <c r="C282" s="301"/>
      <c r="D282" s="301"/>
      <c r="E282" s="324"/>
      <c r="F282" s="552" t="s">
        <v>280</v>
      </c>
      <c r="G282" s="552"/>
      <c r="H282" s="552"/>
      <c r="I282" s="552"/>
      <c r="J282" s="552"/>
      <c r="K282" s="552"/>
      <c r="L282" s="552"/>
      <c r="M282" s="552"/>
      <c r="N282" s="552"/>
      <c r="O282" s="552"/>
      <c r="P282" s="549">
        <f>SUM(N277:O281)</f>
        <v>93.344999999999999</v>
      </c>
      <c r="Q282" s="549"/>
      <c r="R282" s="549"/>
      <c r="S282" s="301"/>
      <c r="T282" s="301"/>
      <c r="U282" s="300"/>
      <c r="V282" s="296"/>
    </row>
    <row r="283" spans="1:22" x14ac:dyDescent="0.25">
      <c r="A283" s="296"/>
      <c r="B283" s="307"/>
      <c r="C283" s="301"/>
      <c r="D283" s="301" t="s">
        <v>252</v>
      </c>
      <c r="E283" s="552" t="s">
        <v>279</v>
      </c>
      <c r="F283" s="552"/>
      <c r="G283" s="552"/>
      <c r="H283" s="552"/>
      <c r="I283" s="552"/>
      <c r="J283" s="552"/>
      <c r="K283" s="308">
        <v>10</v>
      </c>
      <c r="L283" s="301" t="s">
        <v>278</v>
      </c>
      <c r="M283" s="537" t="s">
        <v>277</v>
      </c>
      <c r="N283" s="537"/>
      <c r="O283" s="537"/>
      <c r="P283" s="536">
        <v>100</v>
      </c>
      <c r="Q283" s="536"/>
      <c r="R283" s="536"/>
      <c r="S283" s="301"/>
      <c r="T283" s="301"/>
      <c r="U283" s="300"/>
      <c r="V283" s="296"/>
    </row>
    <row r="284" spans="1:22" x14ac:dyDescent="0.25">
      <c r="A284" s="296"/>
      <c r="B284" s="307"/>
      <c r="C284" s="301"/>
      <c r="D284" s="301" t="s">
        <v>276</v>
      </c>
      <c r="E284" s="552" t="s">
        <v>275</v>
      </c>
      <c r="F284" s="552"/>
      <c r="G284" s="552"/>
      <c r="H284" s="552"/>
      <c r="I284" s="552"/>
      <c r="J284" s="552"/>
      <c r="K284" s="552"/>
      <c r="L284" s="552"/>
      <c r="M284" s="552"/>
      <c r="N284" s="552"/>
      <c r="O284" s="552"/>
      <c r="P284" s="536"/>
      <c r="Q284" s="536"/>
      <c r="R284" s="536"/>
      <c r="S284" s="301"/>
      <c r="T284" s="301"/>
      <c r="U284" s="300"/>
      <c r="V284" s="296"/>
    </row>
    <row r="285" spans="1:22" x14ac:dyDescent="0.25">
      <c r="A285" s="296"/>
      <c r="B285" s="307"/>
      <c r="C285" s="301"/>
      <c r="D285" s="301" t="s">
        <v>274</v>
      </c>
      <c r="E285" s="552" t="s">
        <v>273</v>
      </c>
      <c r="F285" s="552"/>
      <c r="G285" s="552"/>
      <c r="H285" s="552"/>
      <c r="I285" s="552"/>
      <c r="J285" s="552"/>
      <c r="K285" s="552"/>
      <c r="L285" s="552"/>
      <c r="M285" s="552"/>
      <c r="N285" s="552"/>
      <c r="O285" s="552"/>
      <c r="P285" s="536"/>
      <c r="Q285" s="536"/>
      <c r="R285" s="536"/>
      <c r="S285" s="301"/>
      <c r="T285" s="301"/>
      <c r="U285" s="300"/>
      <c r="V285" s="296"/>
    </row>
    <row r="286" spans="1:22" x14ac:dyDescent="0.25">
      <c r="A286" s="296"/>
      <c r="B286" s="307"/>
      <c r="C286" s="301"/>
      <c r="D286" s="301" t="s">
        <v>272</v>
      </c>
      <c r="E286" s="552" t="s">
        <v>271</v>
      </c>
      <c r="F286" s="552"/>
      <c r="G286" s="552"/>
      <c r="H286" s="552"/>
      <c r="I286" s="552"/>
      <c r="J286" s="552"/>
      <c r="K286" s="552"/>
      <c r="L286" s="552"/>
      <c r="M286" s="552"/>
      <c r="N286" s="552"/>
      <c r="O286" s="552"/>
      <c r="P286" s="536"/>
      <c r="Q286" s="536"/>
      <c r="R286" s="536"/>
      <c r="S286" s="301"/>
      <c r="T286" s="301"/>
      <c r="U286" s="300"/>
      <c r="V286" s="296"/>
    </row>
    <row r="287" spans="1:22" x14ac:dyDescent="0.25">
      <c r="A287" s="296"/>
      <c r="B287" s="307"/>
      <c r="C287" s="301"/>
      <c r="D287" s="301"/>
      <c r="E287" s="301"/>
      <c r="F287" s="301"/>
      <c r="G287" s="301"/>
      <c r="H287" s="301"/>
      <c r="I287" s="301"/>
      <c r="J287" s="554" t="s">
        <v>270</v>
      </c>
      <c r="K287" s="554"/>
      <c r="L287" s="554"/>
      <c r="M287" s="554"/>
      <c r="N287" s="554"/>
      <c r="O287" s="554"/>
      <c r="P287" s="554"/>
      <c r="Q287" s="554"/>
      <c r="R287" s="554"/>
      <c r="U287" s="300"/>
      <c r="V287" s="296"/>
    </row>
    <row r="288" spans="1:22" ht="15.75" thickBot="1" x14ac:dyDescent="0.3">
      <c r="A288" s="296"/>
      <c r="B288" s="307"/>
      <c r="C288" s="301"/>
      <c r="D288" s="301"/>
      <c r="E288" s="301"/>
      <c r="F288" s="301"/>
      <c r="G288" s="301"/>
      <c r="H288" s="301"/>
      <c r="I288" s="301"/>
      <c r="J288" s="301"/>
      <c r="K288" s="301"/>
      <c r="L288" s="301"/>
      <c r="M288" s="301"/>
      <c r="N288" s="301"/>
      <c r="O288" s="301"/>
      <c r="P288" s="301"/>
      <c r="Q288" s="301"/>
      <c r="R288" s="301"/>
      <c r="S288" s="555">
        <f>SUM(P282+P283)</f>
        <v>193.345</v>
      </c>
      <c r="T288" s="555"/>
      <c r="U288" s="300"/>
      <c r="V288" s="296"/>
    </row>
    <row r="289" spans="1:22" ht="15.75" thickBot="1" x14ac:dyDescent="0.3">
      <c r="A289" s="296"/>
      <c r="B289" s="307"/>
      <c r="C289" s="301"/>
      <c r="D289" s="301"/>
      <c r="E289" s="321" t="s">
        <v>269</v>
      </c>
      <c r="F289" s="301"/>
      <c r="G289" s="301"/>
      <c r="H289" s="561" t="s">
        <v>268</v>
      </c>
      <c r="I289" s="561"/>
      <c r="J289" s="561"/>
      <c r="K289" s="561"/>
      <c r="L289" s="561"/>
      <c r="M289" s="561"/>
      <c r="N289" s="561"/>
      <c r="O289" s="561"/>
      <c r="P289" s="561"/>
      <c r="Q289" s="561"/>
      <c r="R289" s="562"/>
      <c r="S289" s="558">
        <f>T273-S288</f>
        <v>1276.655</v>
      </c>
      <c r="T289" s="559"/>
      <c r="U289" s="300"/>
      <c r="V289" s="296"/>
    </row>
    <row r="290" spans="1:22" x14ac:dyDescent="0.25">
      <c r="A290" s="296"/>
      <c r="B290" s="307"/>
      <c r="C290" s="301"/>
      <c r="D290" s="301"/>
      <c r="E290" s="321" t="s">
        <v>267</v>
      </c>
      <c r="F290" s="301"/>
      <c r="G290" s="301"/>
      <c r="H290" s="301"/>
      <c r="I290" s="301"/>
      <c r="J290" s="314"/>
      <c r="K290" s="301"/>
      <c r="L290" s="301"/>
      <c r="M290" s="301"/>
      <c r="N290" s="301"/>
      <c r="O290" s="301"/>
      <c r="P290" s="301"/>
      <c r="Q290" s="301"/>
      <c r="R290" s="301"/>
      <c r="S290" s="301"/>
      <c r="T290" s="301"/>
      <c r="U290" s="300"/>
      <c r="V290" s="296"/>
    </row>
    <row r="291" spans="1:22" x14ac:dyDescent="0.25">
      <c r="A291" s="296"/>
      <c r="B291" s="307"/>
      <c r="C291" s="301"/>
      <c r="D291" s="301"/>
      <c r="E291" s="301"/>
      <c r="F291" s="301"/>
      <c r="G291" s="301"/>
      <c r="H291" s="560">
        <v>1</v>
      </c>
      <c r="I291" s="560"/>
      <c r="J291" s="560"/>
      <c r="K291" s="323"/>
      <c r="L291" s="301" t="s">
        <v>266</v>
      </c>
      <c r="M291" s="301"/>
      <c r="N291" s="560" t="s">
        <v>0</v>
      </c>
      <c r="O291" s="560"/>
      <c r="P291" s="301" t="s">
        <v>265</v>
      </c>
      <c r="Q291" s="322">
        <v>2022</v>
      </c>
      <c r="R291" s="301"/>
      <c r="S291" s="301"/>
      <c r="T291" s="301"/>
      <c r="U291" s="300"/>
      <c r="V291" s="296"/>
    </row>
    <row r="292" spans="1:22" x14ac:dyDescent="0.25">
      <c r="A292" s="296"/>
      <c r="B292" s="307"/>
      <c r="C292" s="301"/>
      <c r="D292" s="301"/>
      <c r="E292" s="301"/>
      <c r="F292" s="301"/>
      <c r="G292" s="301"/>
      <c r="H292" s="301"/>
      <c r="I292" s="301"/>
      <c r="J292" s="301"/>
      <c r="K292" s="301"/>
      <c r="L292" s="301"/>
      <c r="M292" s="301"/>
      <c r="N292" s="301"/>
      <c r="O292" s="301"/>
      <c r="P292" s="301"/>
      <c r="Q292" s="301"/>
      <c r="R292" s="301"/>
      <c r="S292" s="301"/>
      <c r="T292" s="301"/>
      <c r="U292" s="300"/>
      <c r="V292" s="296"/>
    </row>
    <row r="293" spans="1:22" x14ac:dyDescent="0.25">
      <c r="A293" s="296"/>
      <c r="B293" s="307"/>
      <c r="C293" s="301"/>
      <c r="D293" s="301"/>
      <c r="E293" s="301"/>
      <c r="F293" s="301"/>
      <c r="G293" s="301"/>
      <c r="H293" s="301"/>
      <c r="I293" s="301"/>
      <c r="J293" s="301"/>
      <c r="K293" s="301"/>
      <c r="L293" s="301"/>
      <c r="M293" s="301"/>
      <c r="N293" s="301"/>
      <c r="O293" s="321" t="s">
        <v>264</v>
      </c>
      <c r="P293" s="301"/>
      <c r="Q293" s="301"/>
      <c r="R293" s="301"/>
      <c r="S293" s="301"/>
      <c r="T293" s="301"/>
      <c r="U293" s="300"/>
      <c r="V293" s="296"/>
    </row>
    <row r="294" spans="1:22" x14ac:dyDescent="0.25">
      <c r="A294" s="296"/>
      <c r="B294" s="307"/>
      <c r="C294" s="301"/>
      <c r="D294" s="301"/>
      <c r="E294" s="301"/>
      <c r="F294" s="301"/>
      <c r="G294" s="301"/>
      <c r="H294" s="301"/>
      <c r="I294" s="301"/>
      <c r="J294" s="301"/>
      <c r="K294" s="301"/>
      <c r="L294" s="301"/>
      <c r="M294" s="301"/>
      <c r="N294" s="301"/>
      <c r="O294" s="301"/>
      <c r="P294" s="301"/>
      <c r="Q294" s="301"/>
      <c r="R294" s="301"/>
      <c r="S294" s="301"/>
      <c r="T294" s="301"/>
      <c r="U294" s="300"/>
      <c r="V294" s="296"/>
    </row>
    <row r="295" spans="1:22" x14ac:dyDescent="0.25">
      <c r="A295" s="296"/>
      <c r="B295" s="299"/>
      <c r="C295" s="298"/>
      <c r="D295" s="298"/>
      <c r="E295" s="298"/>
      <c r="F295" s="298"/>
      <c r="G295" s="298"/>
      <c r="H295" s="298"/>
      <c r="I295" s="298"/>
      <c r="J295" s="298"/>
      <c r="K295" s="298"/>
      <c r="L295" s="298"/>
      <c r="M295" s="298"/>
      <c r="N295" s="298"/>
      <c r="O295" s="298"/>
      <c r="P295" s="298"/>
      <c r="Q295" s="298"/>
      <c r="R295" s="298"/>
      <c r="S295" s="298"/>
      <c r="T295" s="298"/>
      <c r="U295" s="297"/>
      <c r="V295" s="296"/>
    </row>
    <row r="296" spans="1:22" x14ac:dyDescent="0.25">
      <c r="A296" s="296"/>
      <c r="B296" s="296"/>
      <c r="C296" s="296"/>
      <c r="D296" s="296"/>
      <c r="E296" s="296"/>
      <c r="F296" s="296"/>
      <c r="G296" s="296"/>
      <c r="H296" s="296"/>
      <c r="I296" s="296"/>
      <c r="J296" s="296"/>
      <c r="K296" s="296"/>
      <c r="L296" s="296"/>
      <c r="M296" s="296"/>
      <c r="N296" s="296"/>
      <c r="O296" s="296"/>
      <c r="P296" s="296"/>
      <c r="Q296" s="296"/>
      <c r="R296" s="296"/>
      <c r="S296" s="296"/>
      <c r="T296" s="296"/>
      <c r="U296" s="296"/>
      <c r="V296" s="296"/>
    </row>
    <row r="297" spans="1:22" x14ac:dyDescent="0.25">
      <c r="A297" s="296"/>
      <c r="B297" s="296"/>
      <c r="C297" s="296"/>
      <c r="D297" s="296"/>
      <c r="E297" s="296"/>
      <c r="F297" s="296"/>
      <c r="G297" s="296"/>
      <c r="H297" s="296"/>
      <c r="I297" s="296"/>
      <c r="J297" s="296"/>
      <c r="K297" s="296"/>
      <c r="L297" s="296"/>
      <c r="M297" s="296"/>
      <c r="N297" s="296"/>
      <c r="O297" s="296"/>
      <c r="P297" s="296"/>
      <c r="Q297" s="296"/>
      <c r="R297" s="296"/>
      <c r="S297" s="296"/>
      <c r="T297" s="296"/>
      <c r="U297" s="296"/>
      <c r="V297" s="296"/>
    </row>
    <row r="298" spans="1:22" x14ac:dyDescent="0.25">
      <c r="A298" s="296"/>
      <c r="B298" s="320" t="s">
        <v>263</v>
      </c>
      <c r="D298" s="319"/>
      <c r="E298" s="319"/>
      <c r="F298" s="319"/>
      <c r="G298" s="319"/>
      <c r="H298" s="319"/>
      <c r="I298" s="319"/>
      <c r="J298" s="319"/>
      <c r="K298" s="319"/>
      <c r="L298" s="319"/>
      <c r="M298" s="319"/>
      <c r="N298" s="319"/>
      <c r="O298" s="319"/>
      <c r="P298" s="319"/>
      <c r="Q298" s="319"/>
      <c r="R298" s="319"/>
      <c r="S298" s="319"/>
      <c r="T298" s="319"/>
      <c r="U298" s="318"/>
      <c r="V298" s="296"/>
    </row>
    <row r="299" spans="1:22" x14ac:dyDescent="0.25">
      <c r="A299" s="296"/>
      <c r="B299" s="307"/>
      <c r="C299" s="301"/>
      <c r="D299" s="301"/>
      <c r="E299" s="301"/>
      <c r="F299" s="301"/>
      <c r="G299" s="301"/>
      <c r="H299" s="301"/>
      <c r="I299" s="301"/>
      <c r="J299" s="301"/>
      <c r="K299" s="301"/>
      <c r="L299" s="301"/>
      <c r="M299" s="301"/>
      <c r="N299" s="301"/>
      <c r="O299" s="301"/>
      <c r="P299" s="301"/>
      <c r="Q299" s="301"/>
      <c r="R299" s="301"/>
      <c r="S299" s="301"/>
      <c r="T299" s="301"/>
      <c r="U299" s="300"/>
      <c r="V299" s="296"/>
    </row>
    <row r="300" spans="1:22" x14ac:dyDescent="0.25">
      <c r="A300" s="296"/>
      <c r="B300" s="307"/>
      <c r="C300" s="301"/>
      <c r="D300" s="301" t="s">
        <v>262</v>
      </c>
      <c r="E300" s="553" t="s">
        <v>261</v>
      </c>
      <c r="F300" s="553"/>
      <c r="G300" s="553"/>
      <c r="H300" s="553"/>
      <c r="I300" s="553"/>
      <c r="J300" s="553"/>
      <c r="K300" s="553"/>
      <c r="L300" s="553"/>
      <c r="M300" s="302"/>
      <c r="N300" s="302"/>
      <c r="O300" s="317" t="s">
        <v>260</v>
      </c>
      <c r="P300" s="317"/>
      <c r="Q300" s="317" t="s">
        <v>259</v>
      </c>
      <c r="R300" s="316" t="s">
        <v>258</v>
      </c>
      <c r="U300" s="300"/>
      <c r="V300" s="296"/>
    </row>
    <row r="301" spans="1:22" x14ac:dyDescent="0.25">
      <c r="A301" s="296"/>
      <c r="B301" s="307"/>
      <c r="C301" s="301"/>
      <c r="D301" s="301"/>
      <c r="E301" s="315" t="s">
        <v>257</v>
      </c>
      <c r="F301" s="315"/>
      <c r="G301" s="315"/>
      <c r="H301" s="315"/>
      <c r="I301" s="315"/>
      <c r="J301" s="315"/>
      <c r="K301" s="315"/>
      <c r="L301" s="315"/>
      <c r="M301" s="556">
        <f>P250</f>
        <v>1450</v>
      </c>
      <c r="N301" s="556"/>
      <c r="O301" s="317"/>
      <c r="P301" s="317"/>
      <c r="Q301" s="317"/>
      <c r="R301" s="316" t="s">
        <v>256</v>
      </c>
      <c r="U301" s="300"/>
      <c r="V301" s="296"/>
    </row>
    <row r="302" spans="1:22" x14ac:dyDescent="0.25">
      <c r="A302" s="296"/>
      <c r="B302" s="307"/>
      <c r="C302" s="301"/>
      <c r="D302" s="301"/>
      <c r="E302" s="315" t="s">
        <v>255</v>
      </c>
      <c r="F302" s="315"/>
      <c r="G302" s="315"/>
      <c r="H302" s="315"/>
      <c r="I302" s="315"/>
      <c r="J302" s="315"/>
      <c r="K302" s="315"/>
      <c r="L302" s="315"/>
      <c r="M302" s="556">
        <f>(T273*2)/12</f>
        <v>245</v>
      </c>
      <c r="N302" s="556"/>
      <c r="O302" s="301"/>
      <c r="P302" s="301"/>
      <c r="Q302" s="301"/>
      <c r="R302" s="301"/>
      <c r="U302" s="300"/>
      <c r="V302" s="296"/>
    </row>
    <row r="303" spans="1:22" x14ac:dyDescent="0.25">
      <c r="A303" s="296"/>
      <c r="B303" s="307"/>
      <c r="C303" s="301"/>
      <c r="D303" s="301"/>
      <c r="E303" s="302"/>
      <c r="F303" s="302"/>
      <c r="G303" s="302"/>
      <c r="H303" s="302"/>
      <c r="I303" s="302"/>
      <c r="J303" s="313" t="s">
        <v>254</v>
      </c>
      <c r="K303" s="313"/>
      <c r="L303" s="313"/>
      <c r="M303" s="556"/>
      <c r="N303" s="556"/>
      <c r="O303" s="306">
        <f>SUM(M301:N302)</f>
        <v>1695</v>
      </c>
      <c r="P303" s="305"/>
      <c r="Q303" s="309">
        <v>0.23599999999999999</v>
      </c>
      <c r="R303" s="308">
        <f>O303*0.0236</f>
        <v>40.002000000000002</v>
      </c>
      <c r="U303" s="300"/>
      <c r="V303" s="296"/>
    </row>
    <row r="304" spans="1:22" x14ac:dyDescent="0.25">
      <c r="A304" s="296"/>
      <c r="B304" s="307"/>
      <c r="C304" s="301"/>
      <c r="D304" s="301"/>
      <c r="E304" s="302"/>
      <c r="F304" s="302"/>
      <c r="G304" s="302"/>
      <c r="H304" s="302"/>
      <c r="I304" s="312" t="s">
        <v>253</v>
      </c>
      <c r="J304" s="313"/>
      <c r="K304" s="313"/>
      <c r="L304" s="313"/>
      <c r="M304" s="314"/>
      <c r="N304" s="313"/>
      <c r="O304" s="310"/>
      <c r="P304" s="310"/>
      <c r="Q304" s="309">
        <v>1.35E-2</v>
      </c>
      <c r="R304" s="308">
        <f>O303*0.0135</f>
        <v>22.8825</v>
      </c>
      <c r="U304" s="300"/>
      <c r="V304" s="296"/>
    </row>
    <row r="305" spans="1:22" x14ac:dyDescent="0.25">
      <c r="A305" s="296"/>
      <c r="B305" s="307"/>
      <c r="C305" s="301"/>
      <c r="D305" s="301" t="s">
        <v>252</v>
      </c>
      <c r="E305" s="302" t="s">
        <v>251</v>
      </c>
      <c r="F305" s="302"/>
      <c r="G305" s="302"/>
      <c r="H305" s="302"/>
      <c r="I305" s="312" t="s">
        <v>250</v>
      </c>
      <c r="J305" s="302"/>
      <c r="K305" s="302"/>
      <c r="L305" s="302"/>
      <c r="M305" s="307"/>
      <c r="N305" s="302"/>
      <c r="O305" s="301"/>
      <c r="P305" s="301"/>
      <c r="Q305" s="309">
        <v>5.5E-2</v>
      </c>
      <c r="R305" s="308">
        <f>O303*0.055</f>
        <v>93.224999999999994</v>
      </c>
      <c r="U305" s="300"/>
      <c r="V305" s="296"/>
    </row>
    <row r="306" spans="1:22" x14ac:dyDescent="0.25">
      <c r="A306" s="296"/>
      <c r="B306" s="307"/>
      <c r="C306" s="301"/>
      <c r="D306" s="301"/>
      <c r="E306" s="302" t="s">
        <v>249</v>
      </c>
      <c r="F306" s="302"/>
      <c r="G306" s="302"/>
      <c r="H306" s="302"/>
      <c r="I306" s="312" t="s">
        <v>248</v>
      </c>
      <c r="J306" s="302"/>
      <c r="K306" s="302"/>
      <c r="L306" s="302"/>
      <c r="M306" s="557"/>
      <c r="N306" s="556"/>
      <c r="O306" s="306">
        <f>O303</f>
        <v>1695</v>
      </c>
      <c r="P306" s="305"/>
      <c r="Q306" s="309">
        <v>6.0000000000000001E-3</v>
      </c>
      <c r="R306" s="308">
        <f>O303*0.006</f>
        <v>10.17</v>
      </c>
      <c r="U306" s="300"/>
      <c r="V306" s="296"/>
    </row>
    <row r="307" spans="1:22" x14ac:dyDescent="0.25">
      <c r="A307" s="296"/>
      <c r="B307" s="307"/>
      <c r="C307" s="301"/>
      <c r="D307" s="301"/>
      <c r="E307" s="302"/>
      <c r="F307" s="302"/>
      <c r="G307" s="302"/>
      <c r="H307" s="302"/>
      <c r="I307" s="312" t="s">
        <v>247</v>
      </c>
      <c r="J307" s="302"/>
      <c r="K307" s="302"/>
      <c r="L307" s="302"/>
      <c r="M307" s="311"/>
      <c r="N307" s="302"/>
      <c r="O307" s="310"/>
      <c r="P307" s="310"/>
      <c r="Q307" s="309">
        <v>2E-3</v>
      </c>
      <c r="R307" s="308">
        <v>2.3333333333333335</v>
      </c>
      <c r="U307" s="300"/>
      <c r="V307" s="296"/>
    </row>
    <row r="308" spans="1:22" x14ac:dyDescent="0.25">
      <c r="A308" s="296"/>
      <c r="B308" s="307"/>
      <c r="C308" s="301"/>
      <c r="D308" s="301" t="s">
        <v>246</v>
      </c>
      <c r="E308" s="302" t="s">
        <v>245</v>
      </c>
      <c r="F308" s="302"/>
      <c r="G308" s="302"/>
      <c r="H308" s="302"/>
      <c r="I308" s="302"/>
      <c r="J308" s="302"/>
      <c r="K308" s="302"/>
      <c r="L308" s="302"/>
      <c r="M308" s="556"/>
      <c r="N308" s="556"/>
      <c r="O308" s="306">
        <f>O305</f>
        <v>0</v>
      </c>
      <c r="P308" s="305"/>
      <c r="Q308" s="309">
        <v>0.23599999999999999</v>
      </c>
      <c r="R308" s="308">
        <v>0</v>
      </c>
      <c r="U308" s="300"/>
      <c r="V308" s="296"/>
    </row>
    <row r="309" spans="1:22" x14ac:dyDescent="0.25">
      <c r="A309" s="296"/>
      <c r="B309" s="307"/>
      <c r="C309" s="301"/>
      <c r="D309" s="301" t="s">
        <v>244</v>
      </c>
      <c r="E309" s="302" t="s">
        <v>243</v>
      </c>
      <c r="F309" s="302"/>
      <c r="G309" s="302"/>
      <c r="H309" s="302"/>
      <c r="I309" s="302"/>
      <c r="J309" s="302"/>
      <c r="K309" s="302"/>
      <c r="L309" s="302"/>
      <c r="M309" s="556"/>
      <c r="N309" s="556"/>
      <c r="O309" s="306">
        <v>0</v>
      </c>
      <c r="P309" s="305"/>
      <c r="Q309" s="309">
        <v>0.12</v>
      </c>
      <c r="R309" s="308">
        <v>0</v>
      </c>
      <c r="U309" s="300"/>
      <c r="V309" s="296"/>
    </row>
    <row r="310" spans="1:22" x14ac:dyDescent="0.25">
      <c r="A310" s="296"/>
      <c r="B310" s="307"/>
      <c r="C310" s="301"/>
      <c r="D310" s="301" t="s">
        <v>242</v>
      </c>
      <c r="E310" s="302" t="s">
        <v>241</v>
      </c>
      <c r="F310" s="302"/>
      <c r="G310" s="302"/>
      <c r="H310" s="302"/>
      <c r="I310" s="302"/>
      <c r="J310" s="302"/>
      <c r="K310" s="302"/>
      <c r="L310" s="302"/>
      <c r="M310" s="556"/>
      <c r="N310" s="556"/>
      <c r="O310" s="306">
        <f>O303</f>
        <v>1695</v>
      </c>
      <c r="P310" s="305"/>
      <c r="Q310" s="304" t="s">
        <v>14</v>
      </c>
      <c r="R310" s="303">
        <f>SUM(R303:R309)</f>
        <v>168.61283333333333</v>
      </c>
      <c r="S310" s="302"/>
      <c r="T310" s="301"/>
      <c r="U310" s="300"/>
      <c r="V310" s="296"/>
    </row>
    <row r="311" spans="1:22" x14ac:dyDescent="0.25">
      <c r="A311" s="296"/>
      <c r="B311" s="299"/>
      <c r="C311" s="298"/>
      <c r="D311" s="298"/>
      <c r="E311" s="298"/>
      <c r="F311" s="298"/>
      <c r="G311" s="298"/>
      <c r="H311" s="298"/>
      <c r="I311" s="298"/>
      <c r="J311" s="298"/>
      <c r="K311" s="298"/>
      <c r="L311" s="298"/>
      <c r="M311" s="298"/>
      <c r="N311" s="298"/>
      <c r="O311" s="298"/>
      <c r="P311" s="298"/>
      <c r="Q311" s="298"/>
      <c r="R311" s="298"/>
      <c r="S311" s="298"/>
      <c r="T311" s="298"/>
      <c r="U311" s="297"/>
      <c r="V311" s="296"/>
    </row>
    <row r="312" spans="1:22" x14ac:dyDescent="0.25">
      <c r="A312" s="296"/>
      <c r="B312" s="296"/>
      <c r="C312" s="296"/>
      <c r="D312" s="296"/>
      <c r="E312" s="296"/>
      <c r="F312" s="296"/>
      <c r="G312" s="296"/>
      <c r="H312" s="296"/>
      <c r="I312" s="296"/>
      <c r="J312" s="296"/>
      <c r="K312" s="296"/>
      <c r="L312" s="296"/>
      <c r="M312" s="296"/>
      <c r="N312" s="296"/>
      <c r="O312" s="296"/>
      <c r="P312" s="296"/>
      <c r="Q312" s="296"/>
      <c r="R312" s="296"/>
      <c r="S312" s="296"/>
      <c r="T312" s="296"/>
      <c r="U312" s="296"/>
      <c r="V312" s="296"/>
    </row>
  </sheetData>
  <mergeCells count="332">
    <mergeCell ref="S289:T289"/>
    <mergeCell ref="H291:J291"/>
    <mergeCell ref="N291:O291"/>
    <mergeCell ref="E300:L300"/>
    <mergeCell ref="M301:N301"/>
    <mergeCell ref="M302:N302"/>
    <mergeCell ref="M303:N303"/>
    <mergeCell ref="M306:N306"/>
    <mergeCell ref="M308:N308"/>
    <mergeCell ref="M309:N309"/>
    <mergeCell ref="M310:N310"/>
    <mergeCell ref="F282:O282"/>
    <mergeCell ref="P282:R282"/>
    <mergeCell ref="E283:J283"/>
    <mergeCell ref="M283:O283"/>
    <mergeCell ref="P283:R283"/>
    <mergeCell ref="E284:O284"/>
    <mergeCell ref="P284:R284"/>
    <mergeCell ref="E285:O285"/>
    <mergeCell ref="P285:R285"/>
    <mergeCell ref="E286:O286"/>
    <mergeCell ref="P286:R286"/>
    <mergeCell ref="J287:R287"/>
    <mergeCell ref="H289:R289"/>
    <mergeCell ref="S288:T288"/>
    <mergeCell ref="E271:N271"/>
    <mergeCell ref="P271:R271"/>
    <mergeCell ref="J273:R273"/>
    <mergeCell ref="E277:J277"/>
    <mergeCell ref="N277:O277"/>
    <mergeCell ref="E278:J278"/>
    <mergeCell ref="N278:O278"/>
    <mergeCell ref="E279:J279"/>
    <mergeCell ref="N279:O279"/>
    <mergeCell ref="E280:J280"/>
    <mergeCell ref="N280:O280"/>
    <mergeCell ref="E281:J281"/>
    <mergeCell ref="N281:O281"/>
    <mergeCell ref="E269:N269"/>
    <mergeCell ref="P269:R269"/>
    <mergeCell ref="E253:N253"/>
    <mergeCell ref="P253:R253"/>
    <mergeCell ref="E254:N254"/>
    <mergeCell ref="P254:R254"/>
    <mergeCell ref="D255:O255"/>
    <mergeCell ref="P255:R255"/>
    <mergeCell ref="D256:O256"/>
    <mergeCell ref="P256:R256"/>
    <mergeCell ref="D257:O257"/>
    <mergeCell ref="P257:R257"/>
    <mergeCell ref="D258:O258"/>
    <mergeCell ref="P258:R258"/>
    <mergeCell ref="D259:O259"/>
    <mergeCell ref="P259:R259"/>
    <mergeCell ref="E263:N263"/>
    <mergeCell ref="P263:R263"/>
    <mergeCell ref="E264:N264"/>
    <mergeCell ref="P264:R264"/>
    <mergeCell ref="E265:N265"/>
    <mergeCell ref="P265:R265"/>
    <mergeCell ref="E267:N267"/>
    <mergeCell ref="P267:R267"/>
    <mergeCell ref="B245:F245"/>
    <mergeCell ref="D250:O250"/>
    <mergeCell ref="P250:R250"/>
    <mergeCell ref="P251:R251"/>
    <mergeCell ref="E252:N252"/>
    <mergeCell ref="P252:R252"/>
    <mergeCell ref="B238:E238"/>
    <mergeCell ref="F238:L238"/>
    <mergeCell ref="P238:T238"/>
    <mergeCell ref="B239:E239"/>
    <mergeCell ref="F239:L239"/>
    <mergeCell ref="P239:T239"/>
    <mergeCell ref="B240:E240"/>
    <mergeCell ref="F240:L240"/>
    <mergeCell ref="P240:T240"/>
    <mergeCell ref="B241:E241"/>
    <mergeCell ref="F241:L241"/>
    <mergeCell ref="B242:E242"/>
    <mergeCell ref="F242:L242"/>
    <mergeCell ref="P242:T242"/>
    <mergeCell ref="B243:E243"/>
    <mergeCell ref="E205:O205"/>
    <mergeCell ref="P205:R205"/>
    <mergeCell ref="H209:R209"/>
    <mergeCell ref="S209:T209"/>
    <mergeCell ref="H211:J211"/>
    <mergeCell ref="N211:O211"/>
    <mergeCell ref="E220:L220"/>
    <mergeCell ref="M221:N221"/>
    <mergeCell ref="M222:N222"/>
    <mergeCell ref="M223:N223"/>
    <mergeCell ref="M226:N226"/>
    <mergeCell ref="M228:N228"/>
    <mergeCell ref="M229:N229"/>
    <mergeCell ref="M230:N230"/>
    <mergeCell ref="E206:O206"/>
    <mergeCell ref="P206:R206"/>
    <mergeCell ref="J207:R207"/>
    <mergeCell ref="S208:T208"/>
    <mergeCell ref="E191:N191"/>
    <mergeCell ref="P191:R191"/>
    <mergeCell ref="J193:R193"/>
    <mergeCell ref="E197:J197"/>
    <mergeCell ref="N197:O197"/>
    <mergeCell ref="E198:J198"/>
    <mergeCell ref="N198:O198"/>
    <mergeCell ref="E199:J199"/>
    <mergeCell ref="N199:O199"/>
    <mergeCell ref="E200:J200"/>
    <mergeCell ref="N200:O200"/>
    <mergeCell ref="E201:J201"/>
    <mergeCell ref="N201:O201"/>
    <mergeCell ref="F202:O202"/>
    <mergeCell ref="P202:R202"/>
    <mergeCell ref="E203:J203"/>
    <mergeCell ref="M203:O203"/>
    <mergeCell ref="P203:R203"/>
    <mergeCell ref="E204:O204"/>
    <mergeCell ref="P204:R204"/>
    <mergeCell ref="E189:N189"/>
    <mergeCell ref="P189:R189"/>
    <mergeCell ref="E173:N173"/>
    <mergeCell ref="P173:R173"/>
    <mergeCell ref="E174:N174"/>
    <mergeCell ref="P174:R174"/>
    <mergeCell ref="D175:O175"/>
    <mergeCell ref="P175:R175"/>
    <mergeCell ref="D176:O176"/>
    <mergeCell ref="P176:R176"/>
    <mergeCell ref="D177:O177"/>
    <mergeCell ref="P177:R177"/>
    <mergeCell ref="D178:O178"/>
    <mergeCell ref="P178:R178"/>
    <mergeCell ref="D179:O179"/>
    <mergeCell ref="P179:R179"/>
    <mergeCell ref="E183:N183"/>
    <mergeCell ref="P183:R183"/>
    <mergeCell ref="E184:N184"/>
    <mergeCell ref="P184:R184"/>
    <mergeCell ref="E185:N185"/>
    <mergeCell ref="P185:R185"/>
    <mergeCell ref="E187:N187"/>
    <mergeCell ref="P187:R187"/>
    <mergeCell ref="P171:R171"/>
    <mergeCell ref="E172:N172"/>
    <mergeCell ref="P172:R172"/>
    <mergeCell ref="H133:J133"/>
    <mergeCell ref="E142:L142"/>
    <mergeCell ref="M143:N143"/>
    <mergeCell ref="M144:N144"/>
    <mergeCell ref="M145:N145"/>
    <mergeCell ref="M148:N148"/>
    <mergeCell ref="B158:E158"/>
    <mergeCell ref="F158:L158"/>
    <mergeCell ref="P158:T158"/>
    <mergeCell ref="B159:E159"/>
    <mergeCell ref="F159:L159"/>
    <mergeCell ref="P159:T159"/>
    <mergeCell ref="M151:N151"/>
    <mergeCell ref="M152:N152"/>
    <mergeCell ref="B160:E160"/>
    <mergeCell ref="F160:L160"/>
    <mergeCell ref="P160:T160"/>
    <mergeCell ref="B161:E161"/>
    <mergeCell ref="F161:L161"/>
    <mergeCell ref="F162:L162"/>
    <mergeCell ref="P100:R100"/>
    <mergeCell ref="P98:R98"/>
    <mergeCell ref="D101:O101"/>
    <mergeCell ref="P101:R101"/>
    <mergeCell ref="P111:R111"/>
    <mergeCell ref="E111:N111"/>
    <mergeCell ref="B165:F165"/>
    <mergeCell ref="E122:J122"/>
    <mergeCell ref="N122:O122"/>
    <mergeCell ref="E121:J121"/>
    <mergeCell ref="N121:O121"/>
    <mergeCell ref="D170:O170"/>
    <mergeCell ref="P170:R170"/>
    <mergeCell ref="P162:T162"/>
    <mergeCell ref="B163:E163"/>
    <mergeCell ref="S130:T130"/>
    <mergeCell ref="H131:R131"/>
    <mergeCell ref="S131:T131"/>
    <mergeCell ref="E123:J123"/>
    <mergeCell ref="N123:O123"/>
    <mergeCell ref="F124:O124"/>
    <mergeCell ref="E125:J125"/>
    <mergeCell ref="M125:O125"/>
    <mergeCell ref="P125:R125"/>
    <mergeCell ref="P127:R127"/>
    <mergeCell ref="E128:O128"/>
    <mergeCell ref="P128:R128"/>
    <mergeCell ref="J129:R129"/>
    <mergeCell ref="M150:N150"/>
    <mergeCell ref="P126:R126"/>
    <mergeCell ref="N133:O133"/>
    <mergeCell ref="E126:O126"/>
    <mergeCell ref="E127:O127"/>
    <mergeCell ref="P124:R124"/>
    <mergeCell ref="B162:E162"/>
    <mergeCell ref="P81:T81"/>
    <mergeCell ref="B82:E82"/>
    <mergeCell ref="F82:L82"/>
    <mergeCell ref="P82:T82"/>
    <mergeCell ref="B80:E80"/>
    <mergeCell ref="F80:L80"/>
    <mergeCell ref="E113:N113"/>
    <mergeCell ref="J115:R115"/>
    <mergeCell ref="E119:J119"/>
    <mergeCell ref="N119:O119"/>
    <mergeCell ref="P95:R95"/>
    <mergeCell ref="D97:O97"/>
    <mergeCell ref="D98:O98"/>
    <mergeCell ref="D99:O99"/>
    <mergeCell ref="P99:R99"/>
    <mergeCell ref="P97:R97"/>
    <mergeCell ref="P113:R113"/>
    <mergeCell ref="E109:N109"/>
    <mergeCell ref="P109:R109"/>
    <mergeCell ref="P105:R105"/>
    <mergeCell ref="P106:R106"/>
    <mergeCell ref="E107:N107"/>
    <mergeCell ref="P107:R107"/>
    <mergeCell ref="D100:O100"/>
    <mergeCell ref="M74:N74"/>
    <mergeCell ref="H53:R53"/>
    <mergeCell ref="E105:N105"/>
    <mergeCell ref="E106:N106"/>
    <mergeCell ref="E120:J120"/>
    <mergeCell ref="N120:O120"/>
    <mergeCell ref="B87:F87"/>
    <mergeCell ref="P96:R96"/>
    <mergeCell ref="E96:N96"/>
    <mergeCell ref="P92:R92"/>
    <mergeCell ref="D92:O92"/>
    <mergeCell ref="P93:R93"/>
    <mergeCell ref="E94:N94"/>
    <mergeCell ref="P94:R94"/>
    <mergeCell ref="E95:N95"/>
    <mergeCell ref="B83:E83"/>
    <mergeCell ref="F83:L83"/>
    <mergeCell ref="B84:E84"/>
    <mergeCell ref="F84:L84"/>
    <mergeCell ref="P84:T84"/>
    <mergeCell ref="B85:E85"/>
    <mergeCell ref="P80:T80"/>
    <mergeCell ref="B81:E81"/>
    <mergeCell ref="F81:L81"/>
    <mergeCell ref="S52:T52"/>
    <mergeCell ref="M66:N66"/>
    <mergeCell ref="M67:N67"/>
    <mergeCell ref="M70:N70"/>
    <mergeCell ref="M72:N72"/>
    <mergeCell ref="M73:N73"/>
    <mergeCell ref="S53:T53"/>
    <mergeCell ref="H55:J55"/>
    <mergeCell ref="N55:O55"/>
    <mergeCell ref="E64:L64"/>
    <mergeCell ref="M65:N65"/>
    <mergeCell ref="P33:R33"/>
    <mergeCell ref="E35:N35"/>
    <mergeCell ref="P35:R35"/>
    <mergeCell ref="J37:R37"/>
    <mergeCell ref="E49:O49"/>
    <mergeCell ref="P49:R49"/>
    <mergeCell ref="E50:O50"/>
    <mergeCell ref="P50:R50"/>
    <mergeCell ref="J51:R51"/>
    <mergeCell ref="E43:J43"/>
    <mergeCell ref="N43:O43"/>
    <mergeCell ref="E44:J44"/>
    <mergeCell ref="N44:O44"/>
    <mergeCell ref="E45:J45"/>
    <mergeCell ref="N45:O45"/>
    <mergeCell ref="F46:O46"/>
    <mergeCell ref="P46:R46"/>
    <mergeCell ref="E47:J47"/>
    <mergeCell ref="M47:O47"/>
    <mergeCell ref="P47:R47"/>
    <mergeCell ref="E48:O48"/>
    <mergeCell ref="P48:R48"/>
    <mergeCell ref="P16:R16"/>
    <mergeCell ref="E17:N17"/>
    <mergeCell ref="P17:R17"/>
    <mergeCell ref="E41:J41"/>
    <mergeCell ref="N41:O41"/>
    <mergeCell ref="E42:J42"/>
    <mergeCell ref="N42:O42"/>
    <mergeCell ref="D20:O20"/>
    <mergeCell ref="P20:R20"/>
    <mergeCell ref="D21:O21"/>
    <mergeCell ref="P21:R21"/>
    <mergeCell ref="D22:O22"/>
    <mergeCell ref="P22:R22"/>
    <mergeCell ref="D23:O23"/>
    <mergeCell ref="P23:R23"/>
    <mergeCell ref="E27:N27"/>
    <mergeCell ref="P27:R27"/>
    <mergeCell ref="E28:N28"/>
    <mergeCell ref="P28:R28"/>
    <mergeCell ref="E29:N29"/>
    <mergeCell ref="P29:R29"/>
    <mergeCell ref="E31:N31"/>
    <mergeCell ref="P31:R31"/>
    <mergeCell ref="E33:N33"/>
    <mergeCell ref="E18:N18"/>
    <mergeCell ref="P18:R18"/>
    <mergeCell ref="D19:O19"/>
    <mergeCell ref="P19:R19"/>
    <mergeCell ref="B2:E2"/>
    <mergeCell ref="F2:L2"/>
    <mergeCell ref="P2:T2"/>
    <mergeCell ref="B3:E3"/>
    <mergeCell ref="F3:L3"/>
    <mergeCell ref="P3:T3"/>
    <mergeCell ref="B4:E4"/>
    <mergeCell ref="F4:L4"/>
    <mergeCell ref="P4:T4"/>
    <mergeCell ref="B5:E5"/>
    <mergeCell ref="F5:L5"/>
    <mergeCell ref="B6:E6"/>
    <mergeCell ref="F6:L6"/>
    <mergeCell ref="P6:T6"/>
    <mergeCell ref="B7:E7"/>
    <mergeCell ref="B9:F9"/>
    <mergeCell ref="D14:O14"/>
    <mergeCell ref="P14:R14"/>
    <mergeCell ref="P15:R15"/>
    <mergeCell ref="E16:N1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249977111117893"/>
    <pageSetUpPr fitToPage="1"/>
  </sheetPr>
  <dimension ref="B1:D17"/>
  <sheetViews>
    <sheetView showGridLines="0" topLeftCell="A14" workbookViewId="0">
      <selection activeCell="B8" sqref="B8"/>
    </sheetView>
  </sheetViews>
  <sheetFormatPr baseColWidth="10" defaultColWidth="10.28515625" defaultRowHeight="30" customHeight="1" x14ac:dyDescent="0.25"/>
  <cols>
    <col min="1" max="1" width="3" style="157" customWidth="1"/>
    <col min="2" max="2" width="63.85546875" style="157" customWidth="1"/>
    <col min="3" max="3" width="22.28515625" style="157" customWidth="1"/>
    <col min="4" max="4" width="10.7109375" style="157" bestFit="1" customWidth="1"/>
    <col min="5" max="16384" width="10.28515625" style="157"/>
  </cols>
  <sheetData>
    <row r="1" spans="2:4" ht="34.5" customHeight="1" x14ac:dyDescent="0.55000000000000004">
      <c r="B1" s="164"/>
      <c r="C1" s="225"/>
    </row>
    <row r="2" spans="2:4" ht="30" customHeight="1" x14ac:dyDescent="0.25">
      <c r="B2" s="163"/>
    </row>
    <row r="3" spans="2:4" ht="15" customHeight="1" x14ac:dyDescent="0.25">
      <c r="B3" s="157" t="s">
        <v>205</v>
      </c>
      <c r="C3" s="157" t="s">
        <v>61</v>
      </c>
      <c r="D3" s="162">
        <v>44562</v>
      </c>
    </row>
    <row r="4" spans="2:4" ht="15" customHeight="1" x14ac:dyDescent="0.25">
      <c r="B4" s="157" t="s">
        <v>206</v>
      </c>
      <c r="C4" s="157" t="s">
        <v>208</v>
      </c>
      <c r="D4" s="157">
        <v>165</v>
      </c>
    </row>
    <row r="5" spans="2:4" ht="30" customHeight="1" x14ac:dyDescent="0.25">
      <c r="B5" s="158" t="s">
        <v>207</v>
      </c>
      <c r="C5" s="160"/>
    </row>
    <row r="6" spans="2:4" ht="30" customHeight="1" x14ac:dyDescent="0.25">
      <c r="B6" s="159" t="s">
        <v>135</v>
      </c>
    </row>
    <row r="7" spans="2:4" ht="15" customHeight="1" x14ac:dyDescent="0.25">
      <c r="B7" s="157" t="s">
        <v>429</v>
      </c>
    </row>
    <row r="8" spans="2:4" ht="15" customHeight="1" x14ac:dyDescent="0.25">
      <c r="B8" s="157" t="s">
        <v>430</v>
      </c>
    </row>
    <row r="9" spans="2:4" ht="15" customHeight="1" x14ac:dyDescent="0.25">
      <c r="B9" s="157" t="s">
        <v>203</v>
      </c>
    </row>
    <row r="10" spans="2:4" ht="15" customHeight="1" x14ac:dyDescent="0.25">
      <c r="B10" s="157" t="s">
        <v>202</v>
      </c>
    </row>
    <row r="11" spans="2:4" ht="30" customHeight="1" x14ac:dyDescent="0.25">
      <c r="B11" s="158" t="s">
        <v>201</v>
      </c>
    </row>
    <row r="13" spans="2:4" ht="30" customHeight="1" x14ac:dyDescent="0.25">
      <c r="B13" s="228" t="s">
        <v>115</v>
      </c>
      <c r="C13" s="229" t="s">
        <v>200</v>
      </c>
    </row>
    <row r="14" spans="2:4" ht="30" customHeight="1" x14ac:dyDescent="0.25">
      <c r="B14" s="234" t="s">
        <v>204</v>
      </c>
      <c r="C14" s="233">
        <v>615.29999999999995</v>
      </c>
    </row>
    <row r="15" spans="2:4" ht="30" customHeight="1" x14ac:dyDescent="0.25">
      <c r="B15" s="231"/>
      <c r="C15" s="232" t="str">
        <f>IFERROR(#REF!*#REF!, "")</f>
        <v/>
      </c>
    </row>
    <row r="16" spans="2:4" ht="21.6" hidden="1" customHeight="1" x14ac:dyDescent="0.25">
      <c r="C16" s="230" t="str">
        <f>IFERROR(#REF!+#REF!+#REF!, "")</f>
        <v/>
      </c>
    </row>
    <row r="17" spans="2:3" ht="30" customHeight="1" x14ac:dyDescent="0.25">
      <c r="B17" s="235" t="s">
        <v>14</v>
      </c>
      <c r="C17" s="236">
        <f>SUM(C14)</f>
        <v>615.29999999999995</v>
      </c>
    </row>
  </sheetData>
  <dataValidations count="18">
    <dataValidation allowBlank="1" showInputMessage="1" showErrorMessage="1" prompt="El importe se calcula automáticamente en esta columna, debajo de este encabezado." sqref="C13" xr:uid="{00000000-0002-0000-0400-000000000000}"/>
    <dataValidation allowBlank="1" showInputMessage="1" showErrorMessage="1" prompt="Cree una factura de servicio con el cálculo de impuestos en esta hoja de cálculo. Escriba los detalles de la empresa y de los clientes, y los detalles del servicio en la tabla de Factura. El total a pagar se calcula automáticamente." sqref="A1" xr:uid="{00000000-0002-0000-0400-000001000000}"/>
    <dataValidation allowBlank="1" showInputMessage="1" showErrorMessage="1" prompt="Escriba el nombre de la empresa que factura en esta celda y agregue el eslogan en la celda siguiente." sqref="B1" xr:uid="{00000000-0002-0000-0400-000002000000}"/>
    <dataValidation allowBlank="1" showInputMessage="1" showErrorMessage="1" prompt="Escriba el lema de la empresa en esta celda y la dirección de la empresa en las celdas siguientes." sqref="B2" xr:uid="{00000000-0002-0000-0400-000003000000}"/>
    <dataValidation allowBlank="1" showInputMessage="1" showErrorMessage="1" prompt="Escriba la dirección de la empresa que factura en esta celda." sqref="B3" xr:uid="{00000000-0002-0000-0400-000004000000}"/>
    <dataValidation allowBlank="1" showInputMessage="1" showErrorMessage="1" prompt="Escriba la ciudad, la provincia y el código postal en esta celda." sqref="B4" xr:uid="{00000000-0002-0000-0400-000005000000}"/>
    <dataValidation allowBlank="1" showInputMessage="1" showErrorMessage="1" prompt="Escriba el número de teléfono y fax en esta celda." sqref="B5" xr:uid="{00000000-0002-0000-0400-000006000000}"/>
    <dataValidation allowBlank="1" showInputMessage="1" showErrorMessage="1" prompt="Escriba las descripciones en la columna con este encabezado. Use los filtros de encabezado para buscar entradas específicas." sqref="B13" xr:uid="{00000000-0002-0000-0400-000007000000}"/>
    <dataValidation allowBlank="1" showInputMessage="1" showErrorMessage="1" prompt="Escriba la fecha de la factura en esta celda." sqref="D3" xr:uid="{00000000-0002-0000-0400-000008000000}"/>
    <dataValidation allowBlank="1" showInputMessage="1" showErrorMessage="1" prompt="Escriba el número de factura en esta celda." sqref="D4" xr:uid="{00000000-0002-0000-0400-000009000000}"/>
    <dataValidation allowBlank="1" showInputMessage="1" showErrorMessage="1" prompt="Escriba la descripción de la factura del servicio o proyecto en esta derecha." sqref="C5" xr:uid="{00000000-0002-0000-0400-00000A000000}"/>
    <dataValidation allowBlank="1" showInputMessage="1" showErrorMessage="1" prompt="Escriba el número de teléfono del cliente en esta celda." sqref="B11" xr:uid="{00000000-0002-0000-0400-00000B000000}"/>
    <dataValidation allowBlank="1" showInputMessage="1" showErrorMessage="1" prompt="Escriba la ciudad, el estado y el código postal del cliente en esta celda." sqref="B10" xr:uid="{00000000-0002-0000-0400-00000C000000}"/>
    <dataValidation allowBlank="1" showInputMessage="1" showErrorMessage="1" prompt="Escriba la dirección del cliente en esta celda." sqref="B9" xr:uid="{00000000-0002-0000-0400-00000D000000}"/>
    <dataValidation allowBlank="1" showInputMessage="1" showErrorMessage="1" prompt="Escriba el nombre de la empresa del cliente en esta celda." sqref="B8" xr:uid="{00000000-0002-0000-0400-00000E000000}"/>
    <dataValidation allowBlank="1" showInputMessage="1" showErrorMessage="1" prompt="Escriba el nombre del cliente en esta celda." sqref="B7" xr:uid="{00000000-0002-0000-0400-00000F000000}"/>
    <dataValidation allowBlank="1" showInputMessage="1" showErrorMessage="1" prompt="Escriba el nombre del cliente, el nombre de la empresa, la dirección, la ciudad, la provincia, el código postal y el número de teléfono en las siguientes celdas." sqref="B6" xr:uid="{00000000-0002-0000-0400-000010000000}"/>
    <dataValidation allowBlank="1" showInputMessage="1" showErrorMessage="1" prompt="El total a pagar se calcula automáticamente en esta celda." sqref="C16" xr:uid="{00000000-0002-0000-0400-000011000000}"/>
  </dataValidations>
  <printOptions horizontalCentered="1"/>
  <pageMargins left="0.5" right="0.5" top="0.5" bottom="0.5" header="0.5" footer="0.5"/>
  <pageSetup paperSize="9" scale="79" fitToHeight="0" orientation="portrait" r:id="rId1"/>
  <headerFooter differentFirst="1">
    <oddFooter>Page &amp;P of &amp;N</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6BE75-21B0-4772-9F48-D214BAE50098}">
  <dimension ref="A3:D23"/>
  <sheetViews>
    <sheetView topLeftCell="A2" workbookViewId="0">
      <selection activeCell="B23" sqref="B23"/>
    </sheetView>
  </sheetViews>
  <sheetFormatPr baseColWidth="10" defaultRowHeight="15" x14ac:dyDescent="0.25"/>
  <cols>
    <col min="1" max="1" width="27.5703125" customWidth="1"/>
    <col min="2" max="2" width="30.5703125" customWidth="1"/>
    <col min="3" max="3" width="32.85546875" bestFit="1" customWidth="1"/>
    <col min="4" max="4" width="14.28515625" customWidth="1"/>
  </cols>
  <sheetData>
    <row r="3" spans="1:4" ht="18.75" x14ac:dyDescent="0.4">
      <c r="A3" s="565" t="s">
        <v>474</v>
      </c>
      <c r="B3" s="565"/>
      <c r="C3" s="565"/>
      <c r="D3" s="460"/>
    </row>
    <row r="4" spans="1:4" ht="15.75" x14ac:dyDescent="0.25">
      <c r="A4" s="566"/>
      <c r="B4" s="566"/>
      <c r="C4" s="462" t="s">
        <v>475</v>
      </c>
      <c r="D4" s="460"/>
    </row>
    <row r="5" spans="1:4" ht="15.75" x14ac:dyDescent="0.25">
      <c r="A5" s="564" t="s">
        <v>476</v>
      </c>
      <c r="B5" s="564"/>
      <c r="C5" s="463">
        <v>960.6</v>
      </c>
    </row>
    <row r="6" spans="1:4" ht="15.75" x14ac:dyDescent="0.25">
      <c r="A6" s="564" t="s">
        <v>479</v>
      </c>
      <c r="B6" s="564"/>
      <c r="C6" s="463">
        <f>0.283*$C$5</f>
        <v>271.84979999999996</v>
      </c>
    </row>
    <row r="7" spans="1:4" ht="18" x14ac:dyDescent="0.25">
      <c r="A7" s="567" t="s">
        <v>14</v>
      </c>
      <c r="B7" s="567"/>
      <c r="C7" s="465">
        <f>$C$6</f>
        <v>271.84979999999996</v>
      </c>
    </row>
    <row r="8" spans="1:4" ht="15.75" x14ac:dyDescent="0.25">
      <c r="A8" s="564" t="s">
        <v>477</v>
      </c>
      <c r="B8" s="564"/>
      <c r="C8" s="464">
        <v>2</v>
      </c>
    </row>
    <row r="9" spans="1:4" ht="15.75" x14ac:dyDescent="0.25">
      <c r="A9" s="564" t="s">
        <v>478</v>
      </c>
      <c r="B9" s="564"/>
      <c r="C9" s="463">
        <f>C7*C8</f>
        <v>543.69959999999992</v>
      </c>
    </row>
    <row r="23" spans="2:2" x14ac:dyDescent="0.25">
      <c r="B23" t="s">
        <v>105</v>
      </c>
    </row>
  </sheetData>
  <mergeCells count="7">
    <mergeCell ref="A8:B8"/>
    <mergeCell ref="A9:B9"/>
    <mergeCell ref="A3:C3"/>
    <mergeCell ref="A4:B4"/>
    <mergeCell ref="A5:B5"/>
    <mergeCell ref="A6:B6"/>
    <mergeCell ref="A7: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22</vt:i4>
      </vt:variant>
      <vt:variant>
        <vt:lpstr>Rangos con nombre</vt:lpstr>
      </vt:variant>
      <vt:variant>
        <vt:i4>56</vt:i4>
      </vt:variant>
    </vt:vector>
  </HeadingPairs>
  <TitlesOfParts>
    <vt:vector size="78" baseType="lpstr">
      <vt:lpstr>ingresos</vt:lpstr>
      <vt:lpstr>Resultados</vt:lpstr>
      <vt:lpstr>TESORERÍA</vt:lpstr>
      <vt:lpstr>INVERSIÓN Y AMORT.</vt:lpstr>
      <vt:lpstr>FACTURA M.M</vt:lpstr>
      <vt:lpstr>BALANCE</vt:lpstr>
      <vt:lpstr>I.V.A</vt:lpstr>
      <vt:lpstr>RATIOS</vt:lpstr>
      <vt:lpstr>factura trámite</vt:lpstr>
      <vt:lpstr>FACTURA NOTARÍA</vt:lpstr>
      <vt:lpstr>TALLER</vt:lpstr>
      <vt:lpstr>FACTURA AGUA</vt:lpstr>
      <vt:lpstr>Cálculos Nómina</vt:lpstr>
      <vt:lpstr>FACTURA IKEA</vt:lpstr>
      <vt:lpstr>FACTURA LUZ </vt:lpstr>
      <vt:lpstr>FACTURA GAS</vt:lpstr>
      <vt:lpstr>ALQUILER LOCAL</vt:lpstr>
      <vt:lpstr>FACTURA VODAFONE</vt:lpstr>
      <vt:lpstr>FACTURA AMAZON</vt:lpstr>
      <vt:lpstr>Nóminas</vt:lpstr>
      <vt:lpstr>Póliza de seguro</vt:lpstr>
      <vt:lpstr>SEGUROS SOCIALES</vt:lpstr>
      <vt:lpstr>BALANCE!Área_de_impresión</vt:lpstr>
      <vt:lpstr>'Cálculos Nómina'!Área_de_impresión</vt:lpstr>
      <vt:lpstr>'FACTURA AGUA'!Área_de_impresión</vt:lpstr>
      <vt:lpstr>'FACTURA AMAZON'!Área_de_impresión</vt:lpstr>
      <vt:lpstr>'FACTURA IKEA'!Área_de_impresión</vt:lpstr>
      <vt:lpstr>I.V.A!Área_de_impresión</vt:lpstr>
      <vt:lpstr>RATIOS!Área_de_impresión</vt:lpstr>
      <vt:lpstr>Resultados!Área_de_impresión</vt:lpstr>
      <vt:lpstr>'FACTURA NOTARÍA'!ColumnTitle1</vt:lpstr>
      <vt:lpstr>'Póliza de seguro'!ColumnTitle1</vt:lpstr>
      <vt:lpstr>'FACTURA NOTARÍA'!ColumnTitleRegion1..B11.1</vt:lpstr>
      <vt:lpstr>'FACTURA VODAFONE'!ColumnTitleRegion1..B11.1</vt:lpstr>
      <vt:lpstr>'Póliza de seguro'!ColumnTitleRegion1..B11.1</vt:lpstr>
      <vt:lpstr>ColumnTitleRegion1..B11.1</vt:lpstr>
      <vt:lpstr>'FACTURA NOTARÍA'!Company_Name</vt:lpstr>
      <vt:lpstr>'Póliza de seguro'!Company_Name</vt:lpstr>
      <vt:lpstr>Company_Name</vt:lpstr>
      <vt:lpstr>Fecha_Extracto</vt:lpstr>
      <vt:lpstr>Identificador_Cliente</vt:lpstr>
      <vt:lpstr>Nombre_Cliente</vt:lpstr>
      <vt:lpstr>'FACTURA GAS'!Nombre_de_la_compañía</vt:lpstr>
      <vt:lpstr>Nombre_de_la_compañía</vt:lpstr>
      <vt:lpstr>'FACTURA VODAFONE'!Nombre_empresa</vt:lpstr>
      <vt:lpstr>Nombre_empresa</vt:lpstr>
      <vt:lpstr>Número_Extracto</vt:lpstr>
      <vt:lpstr>RegiónDeTítuloDeFila1..E5</vt:lpstr>
      <vt:lpstr>RegiónTítuloColumna1..B12.1</vt:lpstr>
      <vt:lpstr>RegiónTítuloColumna2..E12.1</vt:lpstr>
      <vt:lpstr>RegiónTítuloFila1..C4</vt:lpstr>
      <vt:lpstr>'FACTURA GAS'!RegiónTítuloFila1..D8</vt:lpstr>
      <vt:lpstr>RegiónTítuloFila1..D8</vt:lpstr>
      <vt:lpstr>RegiónTítuloFila1..E5</vt:lpstr>
      <vt:lpstr>RegiónTítuloFila1..F2</vt:lpstr>
      <vt:lpstr>'FACTURA AMAZON'!TítuloColumna1</vt:lpstr>
      <vt:lpstr>'FACTURA VODAFONE'!TítuloColumna1</vt:lpstr>
      <vt:lpstr>'INVERSIÓN Y AMORT.'!TítuloColumna1</vt:lpstr>
      <vt:lpstr>TítuloColumna1</vt:lpstr>
      <vt:lpstr>TítuloColumnaRegión1..B6.1</vt:lpstr>
      <vt:lpstr>TítuloColumnaRegión2..B13.1</vt:lpstr>
      <vt:lpstr>'FACTURA LUZ '!TítuloDeColumna1</vt:lpstr>
      <vt:lpstr>TítuloDeColumnaRegión1..C13.1</vt:lpstr>
      <vt:lpstr>TítuloDeColumnaRegión2..C15.1</vt:lpstr>
      <vt:lpstr>TítuloDeFilaRegión1..D6</vt:lpstr>
      <vt:lpstr>TítuloFilaRegión1..D5</vt:lpstr>
      <vt:lpstr>TítuloFilaRegión1..G4</vt:lpstr>
      <vt:lpstr>TítuloFilaRegión2..C8</vt:lpstr>
      <vt:lpstr>'ALQUILER LOCAL'!Títulos_a_imprimir</vt:lpstr>
      <vt:lpstr>'FACTURA AMAZON'!Títulos_a_imprimir</vt:lpstr>
      <vt:lpstr>'FACTURA GAS'!Títulos_a_imprimir</vt:lpstr>
      <vt:lpstr>'FACTURA IKEA'!Títulos_a_imprimir</vt:lpstr>
      <vt:lpstr>'FACTURA LUZ '!Títulos_a_imprimir</vt:lpstr>
      <vt:lpstr>'FACTURA M.M'!Títulos_a_imprimir</vt:lpstr>
      <vt:lpstr>'FACTURA NOTARÍA'!Títulos_a_imprimir</vt:lpstr>
      <vt:lpstr>'FACTURA VODAFONE'!Títulos_a_imprimir</vt:lpstr>
      <vt:lpstr>'Póliza de seguro'!Títulos_a_imprimir</vt:lpstr>
      <vt:lpstr>TALLER!Títulos_a_imprimir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AFI2</dc:creator>
  <cp:lastModifiedBy>daniel</cp:lastModifiedBy>
  <cp:lastPrinted>2022-06-16T20:37:39Z</cp:lastPrinted>
  <dcterms:created xsi:type="dcterms:W3CDTF">2022-02-07T11:41:33Z</dcterms:created>
  <dcterms:modified xsi:type="dcterms:W3CDTF">2022-06-16T23:38:25Z</dcterms:modified>
</cp:coreProperties>
</file>